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4760" yWindow="2860" windowWidth="28680" windowHeight="18740" tabRatio="500"/>
  </bookViews>
  <sheets>
    <sheet name="data_1_7_14" sheetId="8" r:id="rId1"/>
    <sheet name="data_1_6_14" sheetId="7" r:id="rId2"/>
    <sheet name="data_1_5_14" sheetId="1" r:id="rId3"/>
    <sheet name="rules" sheetId="6" r:id="rId4"/>
  </sheets>
  <definedNames>
    <definedName name="solver_adj" localSheetId="2" hidden="1">data_1_5_14!$G$2:$G$144</definedName>
    <definedName name="solver_adj" localSheetId="1" hidden="1">data_1_6_14!$G$2:$G$197</definedName>
    <definedName name="solver_adj" localSheetId="0" hidden="1">data_1_7_14!$G$2:$G$195</definedName>
    <definedName name="solver_cvg" localSheetId="2" hidden="1">0.0001</definedName>
    <definedName name="solver_cvg" localSheetId="1" hidden="1">0.0001</definedName>
    <definedName name="solver_cvg" localSheetId="0" hidden="1">0.0001</definedName>
    <definedName name="solver_drv" localSheetId="2" hidden="1">1</definedName>
    <definedName name="solver_drv" localSheetId="1" hidden="1">1</definedName>
    <definedName name="solver_drv" localSheetId="0" hidden="1">1</definedName>
    <definedName name="solver_eng" localSheetId="2" hidden="1">2</definedName>
    <definedName name="solver_eng" localSheetId="1" hidden="1">2</definedName>
    <definedName name="solver_eng" localSheetId="0" hidden="1">2</definedName>
    <definedName name="solver_itr" localSheetId="2" hidden="1">2147483647</definedName>
    <definedName name="solver_itr" localSheetId="1" hidden="1">2147483647</definedName>
    <definedName name="solver_itr" localSheetId="0" hidden="1">2147483647</definedName>
    <definedName name="solver_lhs1" localSheetId="2" hidden="1">data_1_5_14!$G$2:$G$144</definedName>
    <definedName name="solver_lhs1" localSheetId="1" hidden="1">data_1_6_14!$G$2:$G$197</definedName>
    <definedName name="solver_lhs1" localSheetId="0" hidden="1">data_1_7_14!$G$2:$G$195</definedName>
    <definedName name="solver_lhs10" localSheetId="2" hidden="1">data_1_5_14!$G$10</definedName>
    <definedName name="solver_lhs10" localSheetId="1" hidden="1">data_1_6_14!$G$8</definedName>
    <definedName name="solver_lhs10" localSheetId="0" hidden="1">data_1_7_14!$G$7</definedName>
    <definedName name="solver_lhs11" localSheetId="2" hidden="1">data_1_5_14!#REF!</definedName>
    <definedName name="solver_lhs11" localSheetId="1" hidden="1">data_1_6_14!#REF!</definedName>
    <definedName name="solver_lhs11" localSheetId="0" hidden="1">data_1_7_14!#REF!</definedName>
    <definedName name="solver_lhs12" localSheetId="2" hidden="1">data_1_5_14!$O$2</definedName>
    <definedName name="solver_lhs12" localSheetId="1" hidden="1">data_1_6_14!$O$2</definedName>
    <definedName name="solver_lhs12" localSheetId="0" hidden="1">data_1_7_14!$O$2</definedName>
    <definedName name="solver_lhs2" localSheetId="2" hidden="1">data_1_5_14!$M$2</definedName>
    <definedName name="solver_lhs2" localSheetId="1" hidden="1">data_1_6_14!$M$2</definedName>
    <definedName name="solver_lhs2" localSheetId="0" hidden="1">data_1_7_14!$M$2</definedName>
    <definedName name="solver_lhs3" localSheetId="2" hidden="1">data_1_5_14!$N$2</definedName>
    <definedName name="solver_lhs3" localSheetId="1" hidden="1">data_1_6_14!$N$2</definedName>
    <definedName name="solver_lhs3" localSheetId="0" hidden="1">data_1_7_14!$N$2</definedName>
    <definedName name="solver_lhs4" localSheetId="2" hidden="1">data_1_5_14!$O$2</definedName>
    <definedName name="solver_lhs4" localSheetId="1" hidden="1">data_1_6_14!$O$2</definedName>
    <definedName name="solver_lhs4" localSheetId="0" hidden="1">data_1_7_14!$O$2</definedName>
    <definedName name="solver_lhs5" localSheetId="2" hidden="1">data_1_5_14!$G$5</definedName>
    <definedName name="solver_lhs5" localSheetId="1" hidden="1">data_1_6_14!$G$5</definedName>
    <definedName name="solver_lhs5" localSheetId="0" hidden="1">data_1_7_14!$G$5</definedName>
    <definedName name="solver_lhs6" localSheetId="2" hidden="1">data_1_5_14!$G$6</definedName>
    <definedName name="solver_lhs6" localSheetId="1" hidden="1">data_1_6_14!#REF!</definedName>
    <definedName name="solver_lhs6" localSheetId="0" hidden="1">data_1_7_14!#REF!</definedName>
    <definedName name="solver_lhs7" localSheetId="2" hidden="1">data_1_5_14!$G$7</definedName>
    <definedName name="solver_lhs7" localSheetId="1" hidden="1">data_1_6_14!$G$6</definedName>
    <definedName name="solver_lhs7" localSheetId="0" hidden="1">data_1_7_14!$G$6</definedName>
    <definedName name="solver_lhs8" localSheetId="2" hidden="1">data_1_5_14!$G$8</definedName>
    <definedName name="solver_lhs8" localSheetId="1" hidden="1">data_1_6_14!$G$7</definedName>
    <definedName name="solver_lhs8" localSheetId="0" hidden="1">data_1_7_14!#REF!</definedName>
    <definedName name="solver_lhs9" localSheetId="2" hidden="1">data_1_5_14!$G$9</definedName>
    <definedName name="solver_lhs9" localSheetId="1" hidden="1">data_1_6_14!#REF!</definedName>
    <definedName name="solver_lhs9" localSheetId="0" hidden="1">data_1_7_14!#REF!</definedName>
    <definedName name="solver_lin" localSheetId="2" hidden="1">1</definedName>
    <definedName name="solver_lin" localSheetId="1" hidden="1">1</definedName>
    <definedName name="solver_lin" localSheetId="0" hidden="1">1</definedName>
    <definedName name="solver_mip" localSheetId="2" hidden="1">2147483647</definedName>
    <definedName name="solver_mip" localSheetId="1" hidden="1">2147483647</definedName>
    <definedName name="solver_mip" localSheetId="0" hidden="1">2147483647</definedName>
    <definedName name="solver_mni" localSheetId="2" hidden="1">30</definedName>
    <definedName name="solver_mni" localSheetId="1" hidden="1">30</definedName>
    <definedName name="solver_mni" localSheetId="0" hidden="1">30</definedName>
    <definedName name="solver_mrt" localSheetId="2" hidden="1">0.075</definedName>
    <definedName name="solver_mrt" localSheetId="1" hidden="1">0.075</definedName>
    <definedName name="solver_mrt" localSheetId="0" hidden="1">0.075</definedName>
    <definedName name="solver_msl" localSheetId="2" hidden="1">2</definedName>
    <definedName name="solver_msl" localSheetId="1" hidden="1">2</definedName>
    <definedName name="solver_msl" localSheetId="0" hidden="1">2</definedName>
    <definedName name="solver_neg" localSheetId="2" hidden="1">1</definedName>
    <definedName name="solver_neg" localSheetId="1" hidden="1">1</definedName>
    <definedName name="solver_neg" localSheetId="0" hidden="1">1</definedName>
    <definedName name="solver_nod" localSheetId="2" hidden="1">2147483647</definedName>
    <definedName name="solver_nod" localSheetId="1" hidden="1">2147483647</definedName>
    <definedName name="solver_nod" localSheetId="0" hidden="1">2147483647</definedName>
    <definedName name="solver_num" localSheetId="2" hidden="1">4</definedName>
    <definedName name="solver_num" localSheetId="1" hidden="1">4</definedName>
    <definedName name="solver_num" localSheetId="0" hidden="1">4</definedName>
    <definedName name="solver_opt" localSheetId="2" hidden="1">data_1_5_14!$P$2</definedName>
    <definedName name="solver_opt" localSheetId="1" hidden="1">data_1_6_14!$P$2</definedName>
    <definedName name="solver_opt" localSheetId="0" hidden="1">data_1_7_14!$P$2</definedName>
    <definedName name="solver_pre" localSheetId="2" hidden="1">0.000001</definedName>
    <definedName name="solver_pre" localSheetId="1" hidden="1">0.000001</definedName>
    <definedName name="solver_pre" localSheetId="0" hidden="1">0.000001</definedName>
    <definedName name="solver_rbv" localSheetId="2" hidden="1">1</definedName>
    <definedName name="solver_rbv" localSheetId="1" hidden="1">1</definedName>
    <definedName name="solver_rbv" localSheetId="0" hidden="1">1</definedName>
    <definedName name="solver_rel1" localSheetId="2" hidden="1">5</definedName>
    <definedName name="solver_rel1" localSheetId="1" hidden="1">5</definedName>
    <definedName name="solver_rel1" localSheetId="0" hidden="1">5</definedName>
    <definedName name="solver_rel10" localSheetId="2" hidden="1">5</definedName>
    <definedName name="solver_rel10" localSheetId="1" hidden="1">5</definedName>
    <definedName name="solver_rel10" localSheetId="0" hidden="1">5</definedName>
    <definedName name="solver_rel11" localSheetId="2" hidden="1">2</definedName>
    <definedName name="solver_rel11" localSheetId="1" hidden="1">2</definedName>
    <definedName name="solver_rel11" localSheetId="0" hidden="1">2</definedName>
    <definedName name="solver_rel12" localSheetId="2" hidden="1">1</definedName>
    <definedName name="solver_rel12" localSheetId="1" hidden="1">1</definedName>
    <definedName name="solver_rel12" localSheetId="0" hidden="1">1</definedName>
    <definedName name="solver_rel2" localSheetId="2" hidden="1">2</definedName>
    <definedName name="solver_rel2" localSheetId="1" hidden="1">2</definedName>
    <definedName name="solver_rel2" localSheetId="0" hidden="1">2</definedName>
    <definedName name="solver_rel3" localSheetId="2" hidden="1">2</definedName>
    <definedName name="solver_rel3" localSheetId="1" hidden="1">2</definedName>
    <definedName name="solver_rel3" localSheetId="0" hidden="1">2</definedName>
    <definedName name="solver_rel4" localSheetId="2" hidden="1">1</definedName>
    <definedName name="solver_rel4" localSheetId="1" hidden="1">1</definedName>
    <definedName name="solver_rel4" localSheetId="0" hidden="1">1</definedName>
    <definedName name="solver_rel5" localSheetId="2" hidden="1">5</definedName>
    <definedName name="solver_rel5" localSheetId="1" hidden="1">5</definedName>
    <definedName name="solver_rel5" localSheetId="0" hidden="1">5</definedName>
    <definedName name="solver_rel6" localSheetId="2" hidden="1">5</definedName>
    <definedName name="solver_rel6" localSheetId="1" hidden="1">5</definedName>
    <definedName name="solver_rel6" localSheetId="0" hidden="1">5</definedName>
    <definedName name="solver_rel7" localSheetId="2" hidden="1">5</definedName>
    <definedName name="solver_rel7" localSheetId="1" hidden="1">5</definedName>
    <definedName name="solver_rel7" localSheetId="0" hidden="1">5</definedName>
    <definedName name="solver_rel8" localSheetId="2" hidden="1">5</definedName>
    <definedName name="solver_rel8" localSheetId="1" hidden="1">5</definedName>
    <definedName name="solver_rel8" localSheetId="0" hidden="1">5</definedName>
    <definedName name="solver_rel9" localSheetId="2" hidden="1">5</definedName>
    <definedName name="solver_rel9" localSheetId="1" hidden="1">5</definedName>
    <definedName name="solver_rel9" localSheetId="0" hidden="1">5</definedName>
    <definedName name="solver_rhs1" localSheetId="2" hidden="1">binary</definedName>
    <definedName name="solver_rhs1" localSheetId="1" hidden="1">binary</definedName>
    <definedName name="solver_rhs1" localSheetId="0" hidden="1">binary</definedName>
    <definedName name="solver_rhs10" localSheetId="2" hidden="1">binary</definedName>
    <definedName name="solver_rhs10" localSheetId="1" hidden="1">binary</definedName>
    <definedName name="solver_rhs10" localSheetId="0" hidden="1">binary</definedName>
    <definedName name="solver_rhs11" localSheetId="2" hidden="1">5</definedName>
    <definedName name="solver_rhs11" localSheetId="1" hidden="1">5</definedName>
    <definedName name="solver_rhs11" localSheetId="0" hidden="1">5</definedName>
    <definedName name="solver_rhs12" localSheetId="2" hidden="1">66000</definedName>
    <definedName name="solver_rhs12" localSheetId="1" hidden="1">66000</definedName>
    <definedName name="solver_rhs12" localSheetId="0" hidden="1">66000</definedName>
    <definedName name="solver_rhs2" localSheetId="2" hidden="1">5</definedName>
    <definedName name="solver_rhs2" localSheetId="1" hidden="1">5</definedName>
    <definedName name="solver_rhs2" localSheetId="0" hidden="1">5</definedName>
    <definedName name="solver_rhs3" localSheetId="2" hidden="1">4</definedName>
    <definedName name="solver_rhs3" localSheetId="1" hidden="1">4</definedName>
    <definedName name="solver_rhs3" localSheetId="0" hidden="1">4</definedName>
    <definedName name="solver_rhs4" localSheetId="2" hidden="1">60000</definedName>
    <definedName name="solver_rhs4" localSheetId="1" hidden="1">60000</definedName>
    <definedName name="solver_rhs4" localSheetId="0" hidden="1">60000</definedName>
    <definedName name="solver_rhs5" localSheetId="2" hidden="1">binary</definedName>
    <definedName name="solver_rhs5" localSheetId="1" hidden="1">binary</definedName>
    <definedName name="solver_rhs5" localSheetId="0" hidden="1">binary</definedName>
    <definedName name="solver_rhs6" localSheetId="2" hidden="1">binary</definedName>
    <definedName name="solver_rhs6" localSheetId="1" hidden="1">binary</definedName>
    <definedName name="solver_rhs6" localSheetId="0" hidden="1">binary</definedName>
    <definedName name="solver_rhs7" localSheetId="2" hidden="1">binary</definedName>
    <definedName name="solver_rhs7" localSheetId="1" hidden="1">binary</definedName>
    <definedName name="solver_rhs7" localSheetId="0" hidden="1">binary</definedName>
    <definedName name="solver_rhs8" localSheetId="2" hidden="1">binary</definedName>
    <definedName name="solver_rhs8" localSheetId="1" hidden="1">binary</definedName>
    <definedName name="solver_rhs8" localSheetId="0" hidden="1">binary</definedName>
    <definedName name="solver_rhs9" localSheetId="2" hidden="1">binary</definedName>
    <definedName name="solver_rhs9" localSheetId="1" hidden="1">binary</definedName>
    <definedName name="solver_rhs9" localSheetId="0" hidden="1">binary</definedName>
    <definedName name="solver_rlx" localSheetId="2" hidden="1">2</definedName>
    <definedName name="solver_rlx" localSheetId="1" hidden="1">2</definedName>
    <definedName name="solver_rlx" localSheetId="0" hidden="1">2</definedName>
    <definedName name="solver_rsd" localSheetId="2" hidden="1">0</definedName>
    <definedName name="solver_rsd" localSheetId="1" hidden="1">0</definedName>
    <definedName name="solver_rsd" localSheetId="0" hidden="1">0</definedName>
    <definedName name="solver_scl" localSheetId="2" hidden="1">1</definedName>
    <definedName name="solver_scl" localSheetId="1" hidden="1">1</definedName>
    <definedName name="solver_scl" localSheetId="0" hidden="1">1</definedName>
    <definedName name="solver_sho" localSheetId="2" hidden="1">2</definedName>
    <definedName name="solver_sho" localSheetId="1" hidden="1">2</definedName>
    <definedName name="solver_sho" localSheetId="0" hidden="1">2</definedName>
    <definedName name="solver_ssz" localSheetId="2" hidden="1">100</definedName>
    <definedName name="solver_ssz" localSheetId="1" hidden="1">100</definedName>
    <definedName name="solver_ssz" localSheetId="0" hidden="1">100</definedName>
    <definedName name="solver_tim" localSheetId="2" hidden="1">2147483647</definedName>
    <definedName name="solver_tim" localSheetId="1" hidden="1">2147483647</definedName>
    <definedName name="solver_tim" localSheetId="0" hidden="1">2147483647</definedName>
    <definedName name="solver_tol" localSheetId="2" hidden="1">0.01</definedName>
    <definedName name="solver_tol" localSheetId="1" hidden="1">0.01</definedName>
    <definedName name="solver_tol" localSheetId="0" hidden="1">0.01</definedName>
    <definedName name="solver_typ" localSheetId="2" hidden="1">1</definedName>
    <definedName name="solver_typ" localSheetId="1" hidden="1">1</definedName>
    <definedName name="solver_typ" localSheetId="0" hidden="1">1</definedName>
    <definedName name="solver_val" localSheetId="2" hidden="1">0</definedName>
    <definedName name="solver_val" localSheetId="1" hidden="1">0</definedName>
    <definedName name="solver_val" localSheetId="0" hidden="1">0</definedName>
    <definedName name="solver_ver" localSheetId="2" hidden="1">2</definedName>
    <definedName name="solver_ver" localSheetId="1" hidden="1">2</definedName>
    <definedName name="solver_ver" localSheetId="0" hidden="1">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08" i="8" l="1"/>
  <c r="I208" i="8"/>
  <c r="J208" i="8"/>
  <c r="K208" i="8"/>
  <c r="L208" i="8"/>
  <c r="H183" i="8"/>
  <c r="I183" i="8"/>
  <c r="J183" i="8"/>
  <c r="K183" i="8"/>
  <c r="L183" i="8"/>
  <c r="H204" i="8"/>
  <c r="I204" i="8"/>
  <c r="J204" i="8"/>
  <c r="K204" i="8"/>
  <c r="L204" i="8"/>
  <c r="H179" i="8"/>
  <c r="I179" i="8"/>
  <c r="J179" i="8"/>
  <c r="K179" i="8"/>
  <c r="L179" i="8"/>
  <c r="H196" i="8"/>
  <c r="I196" i="8"/>
  <c r="J196" i="8"/>
  <c r="K196" i="8"/>
  <c r="L196" i="8"/>
  <c r="H173" i="8"/>
  <c r="I173" i="8"/>
  <c r="J173" i="8"/>
  <c r="K173" i="8"/>
  <c r="L173" i="8"/>
  <c r="H193" i="8"/>
  <c r="I193" i="8"/>
  <c r="J193" i="8"/>
  <c r="K193" i="8"/>
  <c r="L193" i="8"/>
  <c r="H195" i="8"/>
  <c r="I195" i="8"/>
  <c r="J195" i="8"/>
  <c r="K195" i="8"/>
  <c r="L195" i="8"/>
  <c r="H141" i="8"/>
  <c r="I141" i="8"/>
  <c r="J141" i="8"/>
  <c r="K141" i="8"/>
  <c r="L141" i="8"/>
  <c r="H135" i="8"/>
  <c r="I135" i="8"/>
  <c r="J135" i="8"/>
  <c r="K135" i="8"/>
  <c r="L135" i="8"/>
  <c r="H180" i="8"/>
  <c r="I180" i="8"/>
  <c r="J180" i="8"/>
  <c r="K180" i="8"/>
  <c r="L180" i="8"/>
  <c r="H187" i="8"/>
  <c r="I187" i="8"/>
  <c r="J187" i="8"/>
  <c r="K187" i="8"/>
  <c r="L187" i="8"/>
  <c r="H185" i="8"/>
  <c r="I185" i="8"/>
  <c r="J185" i="8"/>
  <c r="K185" i="8"/>
  <c r="L185" i="8"/>
  <c r="H166" i="8"/>
  <c r="I166" i="8"/>
  <c r="J166" i="8"/>
  <c r="K166" i="8"/>
  <c r="L166" i="8"/>
  <c r="H176" i="8"/>
  <c r="I176" i="8"/>
  <c r="J176" i="8"/>
  <c r="K176" i="8"/>
  <c r="L176" i="8"/>
  <c r="H190" i="8"/>
  <c r="I190" i="8"/>
  <c r="J190" i="8"/>
  <c r="K190" i="8"/>
  <c r="L190" i="8"/>
  <c r="H202" i="8"/>
  <c r="I202" i="8"/>
  <c r="J202" i="8"/>
  <c r="K202" i="8"/>
  <c r="L202" i="8"/>
  <c r="H184" i="8"/>
  <c r="I184" i="8"/>
  <c r="J184" i="8"/>
  <c r="K184" i="8"/>
  <c r="L184" i="8"/>
  <c r="H138" i="8"/>
  <c r="I138" i="8"/>
  <c r="J138" i="8"/>
  <c r="K138" i="8"/>
  <c r="L138" i="8"/>
  <c r="H169" i="8"/>
  <c r="I169" i="8"/>
  <c r="J169" i="8"/>
  <c r="K169" i="8"/>
  <c r="L169" i="8"/>
  <c r="H108" i="8"/>
  <c r="I108" i="8"/>
  <c r="J108" i="8"/>
  <c r="K108" i="8"/>
  <c r="L108" i="8"/>
  <c r="H159" i="8"/>
  <c r="I159" i="8"/>
  <c r="J159" i="8"/>
  <c r="K159" i="8"/>
  <c r="L159" i="8"/>
  <c r="H198" i="8"/>
  <c r="I198" i="8"/>
  <c r="J198" i="8"/>
  <c r="K198" i="8"/>
  <c r="L198" i="8"/>
  <c r="H205" i="8"/>
  <c r="I205" i="8"/>
  <c r="J205" i="8"/>
  <c r="K205" i="8"/>
  <c r="L205" i="8"/>
  <c r="H206" i="8"/>
  <c r="I206" i="8"/>
  <c r="J206" i="8"/>
  <c r="K206" i="8"/>
  <c r="L206" i="8"/>
  <c r="H101" i="8"/>
  <c r="I101" i="8"/>
  <c r="J101" i="8"/>
  <c r="K101" i="8"/>
  <c r="L101" i="8"/>
  <c r="H188" i="8"/>
  <c r="I188" i="8"/>
  <c r="J188" i="8"/>
  <c r="K188" i="8"/>
  <c r="L188" i="8"/>
  <c r="H49" i="8"/>
  <c r="I49" i="8"/>
  <c r="J49" i="8"/>
  <c r="K49" i="8"/>
  <c r="L49" i="8"/>
  <c r="H200" i="8"/>
  <c r="I200" i="8"/>
  <c r="J200" i="8"/>
  <c r="K200" i="8"/>
  <c r="L200" i="8"/>
  <c r="H120" i="8"/>
  <c r="I120" i="8"/>
  <c r="J120" i="8"/>
  <c r="K120" i="8"/>
  <c r="L120" i="8"/>
  <c r="H203" i="8"/>
  <c r="I203" i="8"/>
  <c r="J203" i="8"/>
  <c r="K203" i="8"/>
  <c r="L203" i="8"/>
  <c r="H161" i="8"/>
  <c r="I161" i="8"/>
  <c r="J161" i="8"/>
  <c r="K161" i="8"/>
  <c r="L161" i="8"/>
  <c r="L192" i="8"/>
  <c r="K192" i="8"/>
  <c r="J192" i="8"/>
  <c r="I192" i="8"/>
  <c r="H192" i="8"/>
  <c r="L144" i="8"/>
  <c r="K144" i="8"/>
  <c r="J144" i="8"/>
  <c r="I144" i="8"/>
  <c r="H144" i="8"/>
  <c r="L151" i="8"/>
  <c r="K151" i="8"/>
  <c r="J151" i="8"/>
  <c r="I151" i="8"/>
  <c r="H151" i="8"/>
  <c r="L127" i="8"/>
  <c r="K127" i="8"/>
  <c r="J127" i="8"/>
  <c r="I127" i="8"/>
  <c r="H127" i="8"/>
  <c r="L177" i="8"/>
  <c r="K177" i="8"/>
  <c r="J177" i="8"/>
  <c r="I177" i="8"/>
  <c r="H177" i="8"/>
  <c r="L160" i="8"/>
  <c r="K160" i="8"/>
  <c r="J160" i="8"/>
  <c r="I160" i="8"/>
  <c r="H160" i="8"/>
  <c r="L197" i="8"/>
  <c r="K197" i="8"/>
  <c r="J197" i="8"/>
  <c r="I197" i="8"/>
  <c r="H197" i="8"/>
  <c r="L137" i="8"/>
  <c r="K137" i="8"/>
  <c r="J137" i="8"/>
  <c r="I137" i="8"/>
  <c r="H137" i="8"/>
  <c r="L162" i="8"/>
  <c r="K162" i="8"/>
  <c r="J162" i="8"/>
  <c r="I162" i="8"/>
  <c r="H162" i="8"/>
  <c r="L207" i="8"/>
  <c r="K207" i="8"/>
  <c r="J207" i="8"/>
  <c r="I207" i="8"/>
  <c r="H207" i="8"/>
  <c r="L168" i="8"/>
  <c r="K168" i="8"/>
  <c r="J168" i="8"/>
  <c r="I168" i="8"/>
  <c r="H168" i="8"/>
  <c r="L150" i="8"/>
  <c r="K150" i="8"/>
  <c r="J150" i="8"/>
  <c r="I150" i="8"/>
  <c r="H150" i="8"/>
  <c r="L139" i="8"/>
  <c r="K139" i="8"/>
  <c r="J139" i="8"/>
  <c r="I139" i="8"/>
  <c r="H139" i="8"/>
  <c r="L124" i="8"/>
  <c r="K124" i="8"/>
  <c r="J124" i="8"/>
  <c r="I124" i="8"/>
  <c r="H124" i="8"/>
  <c r="L149" i="8"/>
  <c r="K149" i="8"/>
  <c r="J149" i="8"/>
  <c r="I149" i="8"/>
  <c r="H149" i="8"/>
  <c r="L157" i="8"/>
  <c r="K157" i="8"/>
  <c r="J157" i="8"/>
  <c r="I157" i="8"/>
  <c r="H157" i="8"/>
  <c r="L194" i="8"/>
  <c r="K194" i="8"/>
  <c r="J194" i="8"/>
  <c r="I194" i="8"/>
  <c r="H194" i="8"/>
  <c r="L199" i="8"/>
  <c r="K199" i="8"/>
  <c r="J199" i="8"/>
  <c r="I199" i="8"/>
  <c r="H199" i="8"/>
  <c r="L128" i="8"/>
  <c r="K128" i="8"/>
  <c r="J128" i="8"/>
  <c r="I128" i="8"/>
  <c r="H128" i="8"/>
  <c r="L133" i="8"/>
  <c r="K133" i="8"/>
  <c r="J133" i="8"/>
  <c r="I133" i="8"/>
  <c r="H133" i="8"/>
  <c r="L189" i="8"/>
  <c r="K189" i="8"/>
  <c r="J189" i="8"/>
  <c r="I189" i="8"/>
  <c r="H189" i="8"/>
  <c r="L147" i="8"/>
  <c r="K147" i="8"/>
  <c r="J147" i="8"/>
  <c r="I147" i="8"/>
  <c r="H147" i="8"/>
  <c r="L142" i="8"/>
  <c r="K142" i="8"/>
  <c r="J142" i="8"/>
  <c r="I142" i="8"/>
  <c r="H142" i="8"/>
  <c r="L156" i="8"/>
  <c r="K156" i="8"/>
  <c r="J156" i="8"/>
  <c r="I156" i="8"/>
  <c r="H156" i="8"/>
  <c r="L154" i="8"/>
  <c r="K154" i="8"/>
  <c r="J154" i="8"/>
  <c r="I154" i="8"/>
  <c r="H154" i="8"/>
  <c r="L22" i="8"/>
  <c r="K22" i="8"/>
  <c r="J22" i="8"/>
  <c r="I22" i="8"/>
  <c r="H22" i="8"/>
  <c r="L84" i="8"/>
  <c r="K84" i="8"/>
  <c r="J84" i="8"/>
  <c r="I84" i="8"/>
  <c r="H84" i="8"/>
  <c r="L171" i="8"/>
  <c r="K171" i="8"/>
  <c r="J171" i="8"/>
  <c r="I171" i="8"/>
  <c r="H171" i="8"/>
  <c r="L158" i="8"/>
  <c r="K158" i="8"/>
  <c r="J158" i="8"/>
  <c r="I158" i="8"/>
  <c r="H158" i="8"/>
  <c r="L122" i="8"/>
  <c r="K122" i="8"/>
  <c r="J122" i="8"/>
  <c r="I122" i="8"/>
  <c r="H122" i="8"/>
  <c r="L174" i="8"/>
  <c r="K174" i="8"/>
  <c r="J174" i="8"/>
  <c r="I174" i="8"/>
  <c r="H174" i="8"/>
  <c r="L164" i="8"/>
  <c r="K164" i="8"/>
  <c r="J164" i="8"/>
  <c r="I164" i="8"/>
  <c r="H164" i="8"/>
  <c r="L186" i="8"/>
  <c r="K186" i="8"/>
  <c r="J186" i="8"/>
  <c r="I186" i="8"/>
  <c r="H186" i="8"/>
  <c r="L83" i="8"/>
  <c r="K83" i="8"/>
  <c r="J83" i="8"/>
  <c r="I83" i="8"/>
  <c r="H83" i="8"/>
  <c r="L182" i="8"/>
  <c r="K182" i="8"/>
  <c r="J182" i="8"/>
  <c r="I182" i="8"/>
  <c r="H182" i="8"/>
  <c r="L102" i="8"/>
  <c r="K102" i="8"/>
  <c r="J102" i="8"/>
  <c r="I102" i="8"/>
  <c r="H102" i="8"/>
  <c r="L175" i="8"/>
  <c r="K175" i="8"/>
  <c r="J175" i="8"/>
  <c r="I175" i="8"/>
  <c r="H175" i="8"/>
  <c r="L178" i="8"/>
  <c r="K178" i="8"/>
  <c r="J178" i="8"/>
  <c r="I178" i="8"/>
  <c r="H178" i="8"/>
  <c r="L109" i="8"/>
  <c r="K109" i="8"/>
  <c r="J109" i="8"/>
  <c r="I109" i="8"/>
  <c r="H109" i="8"/>
  <c r="L31" i="8"/>
  <c r="K31" i="8"/>
  <c r="J31" i="8"/>
  <c r="I31" i="8"/>
  <c r="H31" i="8"/>
  <c r="L80" i="8"/>
  <c r="K80" i="8"/>
  <c r="J80" i="8"/>
  <c r="I80" i="8"/>
  <c r="H80" i="8"/>
  <c r="L98" i="8"/>
  <c r="K98" i="8"/>
  <c r="J98" i="8"/>
  <c r="I98" i="8"/>
  <c r="H98" i="8"/>
  <c r="L114" i="8"/>
  <c r="K114" i="8"/>
  <c r="J114" i="8"/>
  <c r="I114" i="8"/>
  <c r="H114" i="8"/>
  <c r="L94" i="8"/>
  <c r="K94" i="8"/>
  <c r="J94" i="8"/>
  <c r="I94" i="8"/>
  <c r="H94" i="8"/>
  <c r="L152" i="8"/>
  <c r="K152" i="8"/>
  <c r="J152" i="8"/>
  <c r="I152" i="8"/>
  <c r="H152" i="8"/>
  <c r="L62" i="8"/>
  <c r="K62" i="8"/>
  <c r="J62" i="8"/>
  <c r="I62" i="8"/>
  <c r="H62" i="8"/>
  <c r="L61" i="8"/>
  <c r="K61" i="8"/>
  <c r="J61" i="8"/>
  <c r="I61" i="8"/>
  <c r="H61" i="8"/>
  <c r="L172" i="8"/>
  <c r="K172" i="8"/>
  <c r="J172" i="8"/>
  <c r="I172" i="8"/>
  <c r="H172" i="8"/>
  <c r="L77" i="8"/>
  <c r="K77" i="8"/>
  <c r="J77" i="8"/>
  <c r="I77" i="8"/>
  <c r="H77" i="8"/>
  <c r="L29" i="8"/>
  <c r="K29" i="8"/>
  <c r="J29" i="8"/>
  <c r="I29" i="8"/>
  <c r="H29" i="8"/>
  <c r="L57" i="8"/>
  <c r="K57" i="8"/>
  <c r="J57" i="8"/>
  <c r="I57" i="8"/>
  <c r="H57" i="8"/>
  <c r="L170" i="8"/>
  <c r="K170" i="8"/>
  <c r="J170" i="8"/>
  <c r="I170" i="8"/>
  <c r="H170" i="8"/>
  <c r="L155" i="8"/>
  <c r="K155" i="8"/>
  <c r="J155" i="8"/>
  <c r="I155" i="8"/>
  <c r="H155" i="8"/>
  <c r="L167" i="8"/>
  <c r="K167" i="8"/>
  <c r="J167" i="8"/>
  <c r="I167" i="8"/>
  <c r="H167" i="8"/>
  <c r="L129" i="8"/>
  <c r="K129" i="8"/>
  <c r="J129" i="8"/>
  <c r="I129" i="8"/>
  <c r="H129" i="8"/>
  <c r="L181" i="8"/>
  <c r="K181" i="8"/>
  <c r="J181" i="8"/>
  <c r="I181" i="8"/>
  <c r="H181" i="8"/>
  <c r="L125" i="8"/>
  <c r="K125" i="8"/>
  <c r="J125" i="8"/>
  <c r="I125" i="8"/>
  <c r="H125" i="8"/>
  <c r="L24" i="8"/>
  <c r="K24" i="8"/>
  <c r="J24" i="8"/>
  <c r="I24" i="8"/>
  <c r="H24" i="8"/>
  <c r="L132" i="8"/>
  <c r="K132" i="8"/>
  <c r="J132" i="8"/>
  <c r="I132" i="8"/>
  <c r="H132" i="8"/>
  <c r="L115" i="8"/>
  <c r="K115" i="8"/>
  <c r="J115" i="8"/>
  <c r="I115" i="8"/>
  <c r="H115" i="8"/>
  <c r="L191" i="8"/>
  <c r="K191" i="8"/>
  <c r="J191" i="8"/>
  <c r="I191" i="8"/>
  <c r="H191" i="8"/>
  <c r="L91" i="8"/>
  <c r="K91" i="8"/>
  <c r="J91" i="8"/>
  <c r="I91" i="8"/>
  <c r="H91" i="8"/>
  <c r="L48" i="8"/>
  <c r="K48" i="8"/>
  <c r="J48" i="8"/>
  <c r="I48" i="8"/>
  <c r="H48" i="8"/>
  <c r="L165" i="8"/>
  <c r="K165" i="8"/>
  <c r="J165" i="8"/>
  <c r="I165" i="8"/>
  <c r="H165" i="8"/>
  <c r="L59" i="8"/>
  <c r="K59" i="8"/>
  <c r="J59" i="8"/>
  <c r="I59" i="8"/>
  <c r="H59" i="8"/>
  <c r="L87" i="8"/>
  <c r="K87" i="8"/>
  <c r="J87" i="8"/>
  <c r="I87" i="8"/>
  <c r="H87" i="8"/>
  <c r="L74" i="8"/>
  <c r="K74" i="8"/>
  <c r="J74" i="8"/>
  <c r="I74" i="8"/>
  <c r="H74" i="8"/>
  <c r="L90" i="8"/>
  <c r="K90" i="8"/>
  <c r="J90" i="8"/>
  <c r="I90" i="8"/>
  <c r="H90" i="8"/>
  <c r="L116" i="8"/>
  <c r="K116" i="8"/>
  <c r="J116" i="8"/>
  <c r="I116" i="8"/>
  <c r="H116" i="8"/>
  <c r="L130" i="8"/>
  <c r="K130" i="8"/>
  <c r="J130" i="8"/>
  <c r="I130" i="8"/>
  <c r="H130" i="8"/>
  <c r="L56" i="8"/>
  <c r="K56" i="8"/>
  <c r="J56" i="8"/>
  <c r="I56" i="8"/>
  <c r="H56" i="8"/>
  <c r="L66" i="8"/>
  <c r="K66" i="8"/>
  <c r="J66" i="8"/>
  <c r="I66" i="8"/>
  <c r="H66" i="8"/>
  <c r="L148" i="8"/>
  <c r="K148" i="8"/>
  <c r="J148" i="8"/>
  <c r="I148" i="8"/>
  <c r="H148" i="8"/>
  <c r="L20" i="8"/>
  <c r="K20" i="8"/>
  <c r="J20" i="8"/>
  <c r="I20" i="8"/>
  <c r="H20" i="8"/>
  <c r="L45" i="8"/>
  <c r="K45" i="8"/>
  <c r="J45" i="8"/>
  <c r="I45" i="8"/>
  <c r="H45" i="8"/>
  <c r="L73" i="8"/>
  <c r="K73" i="8"/>
  <c r="J73" i="8"/>
  <c r="I73" i="8"/>
  <c r="H73" i="8"/>
  <c r="L76" i="8"/>
  <c r="K76" i="8"/>
  <c r="J76" i="8"/>
  <c r="I76" i="8"/>
  <c r="H76" i="8"/>
  <c r="L163" i="8"/>
  <c r="K163" i="8"/>
  <c r="J163" i="8"/>
  <c r="I163" i="8"/>
  <c r="H163" i="8"/>
  <c r="L117" i="8"/>
  <c r="K117" i="8"/>
  <c r="J117" i="8"/>
  <c r="I117" i="8"/>
  <c r="H117" i="8"/>
  <c r="L27" i="8"/>
  <c r="K27" i="8"/>
  <c r="J27" i="8"/>
  <c r="I27" i="8"/>
  <c r="H27" i="8"/>
  <c r="L153" i="8"/>
  <c r="K153" i="8"/>
  <c r="J153" i="8"/>
  <c r="I153" i="8"/>
  <c r="H153" i="8"/>
  <c r="L146" i="8"/>
  <c r="K146" i="8"/>
  <c r="J146" i="8"/>
  <c r="I146" i="8"/>
  <c r="H146" i="8"/>
  <c r="L9" i="8"/>
  <c r="K9" i="8"/>
  <c r="J9" i="8"/>
  <c r="I9" i="8"/>
  <c r="H9" i="8"/>
  <c r="L143" i="8"/>
  <c r="K143" i="8"/>
  <c r="J143" i="8"/>
  <c r="I143" i="8"/>
  <c r="H143" i="8"/>
  <c r="L10" i="8"/>
  <c r="K10" i="8"/>
  <c r="J10" i="8"/>
  <c r="I10" i="8"/>
  <c r="H10" i="8"/>
  <c r="L201" i="8"/>
  <c r="K201" i="8"/>
  <c r="J201" i="8"/>
  <c r="I201" i="8"/>
  <c r="H201" i="8"/>
  <c r="L118" i="8"/>
  <c r="K118" i="8"/>
  <c r="J118" i="8"/>
  <c r="I118" i="8"/>
  <c r="H118" i="8"/>
  <c r="L100" i="8"/>
  <c r="K100" i="8"/>
  <c r="J100" i="8"/>
  <c r="I100" i="8"/>
  <c r="H100" i="8"/>
  <c r="L8" i="8"/>
  <c r="K8" i="8"/>
  <c r="J8" i="8"/>
  <c r="I8" i="8"/>
  <c r="H8" i="8"/>
  <c r="L131" i="8"/>
  <c r="K131" i="8"/>
  <c r="J131" i="8"/>
  <c r="I131" i="8"/>
  <c r="H131" i="8"/>
  <c r="L81" i="8"/>
  <c r="K81" i="8"/>
  <c r="J81" i="8"/>
  <c r="I81" i="8"/>
  <c r="H81" i="8"/>
  <c r="L88" i="8"/>
  <c r="K88" i="8"/>
  <c r="J88" i="8"/>
  <c r="I88" i="8"/>
  <c r="H88" i="8"/>
  <c r="L105" i="8"/>
  <c r="K105" i="8"/>
  <c r="J105" i="8"/>
  <c r="I105" i="8"/>
  <c r="H105" i="8"/>
  <c r="L7" i="8"/>
  <c r="K7" i="8"/>
  <c r="J7" i="8"/>
  <c r="I7" i="8"/>
  <c r="H7" i="8"/>
  <c r="L126" i="8"/>
  <c r="K126" i="8"/>
  <c r="J126" i="8"/>
  <c r="I126" i="8"/>
  <c r="H126" i="8"/>
  <c r="L140" i="8"/>
  <c r="K140" i="8"/>
  <c r="J140" i="8"/>
  <c r="I140" i="8"/>
  <c r="H140" i="8"/>
  <c r="L95" i="8"/>
  <c r="K95" i="8"/>
  <c r="J95" i="8"/>
  <c r="I95" i="8"/>
  <c r="H95" i="8"/>
  <c r="L19" i="8"/>
  <c r="K19" i="8"/>
  <c r="J19" i="8"/>
  <c r="I19" i="8"/>
  <c r="H19" i="8"/>
  <c r="L35" i="8"/>
  <c r="K35" i="8"/>
  <c r="J35" i="8"/>
  <c r="I35" i="8"/>
  <c r="H35" i="8"/>
  <c r="L17" i="8"/>
  <c r="K17" i="8"/>
  <c r="J17" i="8"/>
  <c r="I17" i="8"/>
  <c r="H17" i="8"/>
  <c r="L50" i="8"/>
  <c r="K50" i="8"/>
  <c r="J50" i="8"/>
  <c r="I50" i="8"/>
  <c r="H50" i="8"/>
  <c r="L65" i="8"/>
  <c r="K65" i="8"/>
  <c r="J65" i="8"/>
  <c r="I65" i="8"/>
  <c r="H65" i="8"/>
  <c r="L123" i="8"/>
  <c r="K123" i="8"/>
  <c r="J123" i="8"/>
  <c r="I123" i="8"/>
  <c r="H123" i="8"/>
  <c r="L121" i="8"/>
  <c r="K121" i="8"/>
  <c r="J121" i="8"/>
  <c r="I121" i="8"/>
  <c r="H121" i="8"/>
  <c r="L28" i="8"/>
  <c r="K28" i="8"/>
  <c r="J28" i="8"/>
  <c r="I28" i="8"/>
  <c r="H28" i="8"/>
  <c r="L3" i="8"/>
  <c r="K3" i="8"/>
  <c r="J3" i="8"/>
  <c r="I3" i="8"/>
  <c r="H3" i="8"/>
  <c r="L4" i="8"/>
  <c r="K4" i="8"/>
  <c r="J4" i="8"/>
  <c r="I4" i="8"/>
  <c r="H4" i="8"/>
  <c r="L39" i="8"/>
  <c r="K39" i="8"/>
  <c r="J39" i="8"/>
  <c r="I39" i="8"/>
  <c r="H39" i="8"/>
  <c r="L107" i="8"/>
  <c r="K107" i="8"/>
  <c r="J107" i="8"/>
  <c r="I107" i="8"/>
  <c r="H107" i="8"/>
  <c r="L134" i="8"/>
  <c r="K134" i="8"/>
  <c r="J134" i="8"/>
  <c r="I134" i="8"/>
  <c r="H134" i="8"/>
  <c r="L136" i="8"/>
  <c r="K136" i="8"/>
  <c r="J136" i="8"/>
  <c r="I136" i="8"/>
  <c r="H136" i="8"/>
  <c r="L68" i="8"/>
  <c r="K68" i="8"/>
  <c r="J68" i="8"/>
  <c r="I68" i="8"/>
  <c r="H68" i="8"/>
  <c r="L15" i="8"/>
  <c r="K15" i="8"/>
  <c r="J15" i="8"/>
  <c r="I15" i="8"/>
  <c r="H15" i="8"/>
  <c r="L55" i="8"/>
  <c r="K55" i="8"/>
  <c r="J55" i="8"/>
  <c r="I55" i="8"/>
  <c r="H55" i="8"/>
  <c r="L69" i="8"/>
  <c r="K69" i="8"/>
  <c r="J69" i="8"/>
  <c r="I69" i="8"/>
  <c r="H69" i="8"/>
  <c r="L42" i="8"/>
  <c r="K42" i="8"/>
  <c r="J42" i="8"/>
  <c r="I42" i="8"/>
  <c r="H42" i="8"/>
  <c r="L51" i="8"/>
  <c r="K51" i="8"/>
  <c r="J51" i="8"/>
  <c r="I51" i="8"/>
  <c r="H51" i="8"/>
  <c r="L110" i="8"/>
  <c r="K110" i="8"/>
  <c r="J110" i="8"/>
  <c r="I110" i="8"/>
  <c r="H110" i="8"/>
  <c r="L32" i="8"/>
  <c r="K32" i="8"/>
  <c r="J32" i="8"/>
  <c r="I32" i="8"/>
  <c r="H32" i="8"/>
  <c r="L111" i="8"/>
  <c r="K111" i="8"/>
  <c r="J111" i="8"/>
  <c r="I111" i="8"/>
  <c r="H111" i="8"/>
  <c r="L38" i="8"/>
  <c r="K38" i="8"/>
  <c r="J38" i="8"/>
  <c r="I38" i="8"/>
  <c r="H38" i="8"/>
  <c r="L44" i="8"/>
  <c r="K44" i="8"/>
  <c r="J44" i="8"/>
  <c r="I44" i="8"/>
  <c r="H44" i="8"/>
  <c r="L99" i="8"/>
  <c r="K99" i="8"/>
  <c r="J99" i="8"/>
  <c r="I99" i="8"/>
  <c r="H99" i="8"/>
  <c r="L12" i="8"/>
  <c r="K12" i="8"/>
  <c r="J12" i="8"/>
  <c r="I12" i="8"/>
  <c r="H12" i="8"/>
  <c r="L93" i="8"/>
  <c r="K93" i="8"/>
  <c r="J93" i="8"/>
  <c r="I93" i="8"/>
  <c r="H93" i="8"/>
  <c r="L112" i="8"/>
  <c r="K112" i="8"/>
  <c r="J112" i="8"/>
  <c r="I112" i="8"/>
  <c r="H112" i="8"/>
  <c r="L33" i="8"/>
  <c r="K33" i="8"/>
  <c r="J33" i="8"/>
  <c r="I33" i="8"/>
  <c r="H33" i="8"/>
  <c r="L86" i="8"/>
  <c r="K86" i="8"/>
  <c r="J86" i="8"/>
  <c r="I86" i="8"/>
  <c r="H86" i="8"/>
  <c r="L72" i="8"/>
  <c r="K72" i="8"/>
  <c r="J72" i="8"/>
  <c r="I72" i="8"/>
  <c r="H72" i="8"/>
  <c r="L23" i="8"/>
  <c r="K23" i="8"/>
  <c r="J23" i="8"/>
  <c r="I23" i="8"/>
  <c r="H23" i="8"/>
  <c r="L37" i="8"/>
  <c r="K37" i="8"/>
  <c r="J37" i="8"/>
  <c r="I37" i="8"/>
  <c r="H37" i="8"/>
  <c r="L70" i="8"/>
  <c r="K70" i="8"/>
  <c r="J70" i="8"/>
  <c r="I70" i="8"/>
  <c r="H70" i="8"/>
  <c r="L26" i="8"/>
  <c r="K26" i="8"/>
  <c r="J26" i="8"/>
  <c r="I26" i="8"/>
  <c r="H26" i="8"/>
  <c r="L79" i="8"/>
  <c r="K79" i="8"/>
  <c r="J79" i="8"/>
  <c r="I79" i="8"/>
  <c r="H79" i="8"/>
  <c r="L14" i="8"/>
  <c r="K14" i="8"/>
  <c r="J14" i="8"/>
  <c r="I14" i="8"/>
  <c r="H14" i="8"/>
  <c r="L113" i="8"/>
  <c r="K113" i="8"/>
  <c r="J113" i="8"/>
  <c r="I113" i="8"/>
  <c r="H113" i="8"/>
  <c r="L52" i="8"/>
  <c r="K52" i="8"/>
  <c r="J52" i="8"/>
  <c r="I52" i="8"/>
  <c r="H52" i="8"/>
  <c r="L97" i="8"/>
  <c r="K97" i="8"/>
  <c r="J97" i="8"/>
  <c r="I97" i="8"/>
  <c r="H97" i="8"/>
  <c r="L64" i="8"/>
  <c r="K64" i="8"/>
  <c r="J64" i="8"/>
  <c r="I64" i="8"/>
  <c r="H64" i="8"/>
  <c r="L60" i="8"/>
  <c r="K60" i="8"/>
  <c r="J60" i="8"/>
  <c r="I60" i="8"/>
  <c r="H60" i="8"/>
  <c r="L54" i="8"/>
  <c r="K54" i="8"/>
  <c r="J54" i="8"/>
  <c r="I54" i="8"/>
  <c r="H54" i="8"/>
  <c r="L67" i="8"/>
  <c r="K67" i="8"/>
  <c r="J67" i="8"/>
  <c r="I67" i="8"/>
  <c r="H67" i="8"/>
  <c r="L82" i="8"/>
  <c r="K82" i="8"/>
  <c r="J82" i="8"/>
  <c r="I82" i="8"/>
  <c r="H82" i="8"/>
  <c r="L145" i="8"/>
  <c r="K145" i="8"/>
  <c r="J145" i="8"/>
  <c r="I145" i="8"/>
  <c r="H145" i="8"/>
  <c r="L47" i="8"/>
  <c r="K47" i="8"/>
  <c r="J47" i="8"/>
  <c r="I47" i="8"/>
  <c r="H47" i="8"/>
  <c r="L36" i="8"/>
  <c r="K36" i="8"/>
  <c r="J36" i="8"/>
  <c r="I36" i="8"/>
  <c r="H36" i="8"/>
  <c r="L46" i="8"/>
  <c r="K46" i="8"/>
  <c r="J46" i="8"/>
  <c r="I46" i="8"/>
  <c r="H46" i="8"/>
  <c r="L92" i="8"/>
  <c r="K92" i="8"/>
  <c r="J92" i="8"/>
  <c r="I92" i="8"/>
  <c r="H92" i="8"/>
  <c r="L75" i="8"/>
  <c r="K75" i="8"/>
  <c r="J75" i="8"/>
  <c r="I75" i="8"/>
  <c r="H75" i="8"/>
  <c r="L58" i="8"/>
  <c r="K58" i="8"/>
  <c r="J58" i="8"/>
  <c r="I58" i="8"/>
  <c r="H58" i="8"/>
  <c r="L40" i="8"/>
  <c r="K40" i="8"/>
  <c r="J40" i="8"/>
  <c r="I40" i="8"/>
  <c r="H40" i="8"/>
  <c r="L89" i="8"/>
  <c r="K89" i="8"/>
  <c r="J89" i="8"/>
  <c r="I89" i="8"/>
  <c r="H89" i="8"/>
  <c r="L119" i="8"/>
  <c r="K119" i="8"/>
  <c r="J119" i="8"/>
  <c r="I119" i="8"/>
  <c r="H119" i="8"/>
  <c r="L53" i="8"/>
  <c r="K53" i="8"/>
  <c r="J53" i="8"/>
  <c r="I53" i="8"/>
  <c r="H53" i="8"/>
  <c r="L104" i="8"/>
  <c r="K104" i="8"/>
  <c r="J104" i="8"/>
  <c r="I104" i="8"/>
  <c r="H104" i="8"/>
  <c r="L63" i="8"/>
  <c r="K63" i="8"/>
  <c r="J63" i="8"/>
  <c r="I63" i="8"/>
  <c r="H63" i="8"/>
  <c r="L85" i="8"/>
  <c r="K85" i="8"/>
  <c r="J85" i="8"/>
  <c r="I85" i="8"/>
  <c r="H85" i="8"/>
  <c r="L71" i="8"/>
  <c r="K71" i="8"/>
  <c r="J71" i="8"/>
  <c r="I71" i="8"/>
  <c r="H71" i="8"/>
  <c r="L25" i="8"/>
  <c r="K25" i="8"/>
  <c r="J25" i="8"/>
  <c r="I25" i="8"/>
  <c r="H25" i="8"/>
  <c r="L106" i="8"/>
  <c r="K106" i="8"/>
  <c r="J106" i="8"/>
  <c r="I106" i="8"/>
  <c r="H106" i="8"/>
  <c r="L5" i="8"/>
  <c r="K5" i="8"/>
  <c r="J5" i="8"/>
  <c r="I5" i="8"/>
  <c r="H5" i="8"/>
  <c r="L13" i="8"/>
  <c r="K13" i="8"/>
  <c r="J13" i="8"/>
  <c r="I13" i="8"/>
  <c r="H13" i="8"/>
  <c r="L30" i="8"/>
  <c r="K30" i="8"/>
  <c r="J30" i="8"/>
  <c r="I30" i="8"/>
  <c r="H30" i="8"/>
  <c r="L96" i="8"/>
  <c r="K96" i="8"/>
  <c r="J96" i="8"/>
  <c r="I96" i="8"/>
  <c r="H96" i="8"/>
  <c r="L78" i="8"/>
  <c r="K78" i="8"/>
  <c r="J78" i="8"/>
  <c r="I78" i="8"/>
  <c r="H78" i="8"/>
  <c r="L43" i="8"/>
  <c r="K43" i="8"/>
  <c r="J43" i="8"/>
  <c r="I43" i="8"/>
  <c r="H43" i="8"/>
  <c r="L41" i="8"/>
  <c r="K41" i="8"/>
  <c r="J41" i="8"/>
  <c r="I41" i="8"/>
  <c r="H41" i="8"/>
  <c r="L103" i="8"/>
  <c r="K103" i="8"/>
  <c r="J103" i="8"/>
  <c r="I103" i="8"/>
  <c r="H103" i="8"/>
  <c r="L34" i="8"/>
  <c r="K34" i="8"/>
  <c r="J34" i="8"/>
  <c r="I34" i="8"/>
  <c r="H34" i="8"/>
  <c r="L2" i="8"/>
  <c r="K2" i="8"/>
  <c r="J2" i="8"/>
  <c r="I2" i="8"/>
  <c r="H2" i="8"/>
  <c r="L18" i="8"/>
  <c r="K18" i="8"/>
  <c r="J18" i="8"/>
  <c r="I18" i="8"/>
  <c r="H18" i="8"/>
  <c r="L11" i="8"/>
  <c r="K11" i="8"/>
  <c r="J11" i="8"/>
  <c r="I11" i="8"/>
  <c r="H11" i="8"/>
  <c r="L6" i="8"/>
  <c r="K6" i="8"/>
  <c r="J6" i="8"/>
  <c r="I6" i="8"/>
  <c r="H6" i="8"/>
  <c r="L21" i="8"/>
  <c r="K21" i="8"/>
  <c r="J21" i="8"/>
  <c r="I21" i="8"/>
  <c r="H21" i="8"/>
  <c r="L16" i="8"/>
  <c r="P2" i="8"/>
  <c r="K16" i="8"/>
  <c r="O2" i="8"/>
  <c r="H16" i="8"/>
  <c r="N2" i="8"/>
  <c r="I16" i="8"/>
  <c r="M2" i="8"/>
  <c r="J16" i="8"/>
  <c r="H141" i="7"/>
  <c r="I141" i="7"/>
  <c r="J141" i="7"/>
  <c r="K141" i="7"/>
  <c r="L141" i="7"/>
  <c r="H143" i="7"/>
  <c r="I143" i="7"/>
  <c r="J143" i="7"/>
  <c r="K143" i="7"/>
  <c r="L143" i="7"/>
  <c r="H144" i="7"/>
  <c r="I144" i="7"/>
  <c r="J144" i="7"/>
  <c r="K144" i="7"/>
  <c r="L144" i="7"/>
  <c r="H142" i="7"/>
  <c r="I142" i="7"/>
  <c r="J142" i="7"/>
  <c r="K142" i="7"/>
  <c r="L142" i="7"/>
  <c r="H154" i="7"/>
  <c r="I154" i="7"/>
  <c r="J154" i="7"/>
  <c r="K154" i="7"/>
  <c r="L154" i="7"/>
  <c r="H153" i="7"/>
  <c r="I153" i="7"/>
  <c r="J153" i="7"/>
  <c r="K153" i="7"/>
  <c r="L153" i="7"/>
  <c r="H147" i="7"/>
  <c r="I147" i="7"/>
  <c r="J147" i="7"/>
  <c r="K147" i="7"/>
  <c r="L147" i="7"/>
  <c r="H151" i="7"/>
  <c r="I151" i="7"/>
  <c r="J151" i="7"/>
  <c r="K151" i="7"/>
  <c r="L151" i="7"/>
  <c r="H146" i="7"/>
  <c r="I146" i="7"/>
  <c r="J146" i="7"/>
  <c r="K146" i="7"/>
  <c r="L146" i="7"/>
  <c r="H148" i="7"/>
  <c r="I148" i="7"/>
  <c r="J148" i="7"/>
  <c r="K148" i="7"/>
  <c r="L148" i="7"/>
  <c r="H152" i="7"/>
  <c r="I152" i="7"/>
  <c r="J152" i="7"/>
  <c r="K152" i="7"/>
  <c r="L152" i="7"/>
  <c r="H155" i="7"/>
  <c r="I155" i="7"/>
  <c r="J155" i="7"/>
  <c r="K155" i="7"/>
  <c r="L155" i="7"/>
  <c r="H150" i="7"/>
  <c r="I150" i="7"/>
  <c r="J150" i="7"/>
  <c r="K150" i="7"/>
  <c r="L150" i="7"/>
  <c r="H149" i="7"/>
  <c r="I149" i="7"/>
  <c r="J149" i="7"/>
  <c r="K149" i="7"/>
  <c r="L149" i="7"/>
  <c r="H158" i="7"/>
  <c r="I158" i="7"/>
  <c r="J158" i="7"/>
  <c r="K158" i="7"/>
  <c r="L158" i="7"/>
  <c r="H157" i="7"/>
  <c r="I157" i="7"/>
  <c r="J157" i="7"/>
  <c r="K157" i="7"/>
  <c r="L157" i="7"/>
  <c r="H156" i="7"/>
  <c r="I156" i="7"/>
  <c r="J156" i="7"/>
  <c r="K156" i="7"/>
  <c r="L156" i="7"/>
  <c r="H160" i="7"/>
  <c r="I160" i="7"/>
  <c r="J160" i="7"/>
  <c r="K160" i="7"/>
  <c r="L160" i="7"/>
  <c r="H159" i="7"/>
  <c r="I159" i="7"/>
  <c r="J159" i="7"/>
  <c r="K159" i="7"/>
  <c r="L159" i="7"/>
  <c r="H161" i="7"/>
  <c r="I161" i="7"/>
  <c r="J161" i="7"/>
  <c r="K161" i="7"/>
  <c r="L161" i="7"/>
  <c r="H192" i="7"/>
  <c r="I192" i="7"/>
  <c r="J192" i="7"/>
  <c r="K192" i="7"/>
  <c r="L192" i="7"/>
  <c r="H172" i="7"/>
  <c r="I172" i="7"/>
  <c r="J172" i="7"/>
  <c r="K172" i="7"/>
  <c r="L172" i="7"/>
  <c r="H165" i="7"/>
  <c r="I165" i="7"/>
  <c r="J165" i="7"/>
  <c r="K165" i="7"/>
  <c r="L165" i="7"/>
  <c r="H181" i="7"/>
  <c r="I181" i="7"/>
  <c r="J181" i="7"/>
  <c r="K181" i="7"/>
  <c r="L181" i="7"/>
  <c r="H180" i="7"/>
  <c r="I180" i="7"/>
  <c r="J180" i="7"/>
  <c r="K180" i="7"/>
  <c r="L180" i="7"/>
  <c r="H186" i="7"/>
  <c r="I186" i="7"/>
  <c r="J186" i="7"/>
  <c r="K186" i="7"/>
  <c r="L186" i="7"/>
  <c r="H178" i="7"/>
  <c r="I178" i="7"/>
  <c r="J178" i="7"/>
  <c r="K178" i="7"/>
  <c r="L178" i="7"/>
  <c r="H193" i="7"/>
  <c r="I193" i="7"/>
  <c r="J193" i="7"/>
  <c r="K193" i="7"/>
  <c r="L193" i="7"/>
  <c r="H175" i="7"/>
  <c r="I175" i="7"/>
  <c r="J175" i="7"/>
  <c r="K175" i="7"/>
  <c r="L175" i="7"/>
  <c r="H190" i="7"/>
  <c r="I190" i="7"/>
  <c r="J190" i="7"/>
  <c r="K190" i="7"/>
  <c r="L190" i="7"/>
  <c r="H182" i="7"/>
  <c r="I182" i="7"/>
  <c r="J182" i="7"/>
  <c r="K182" i="7"/>
  <c r="L182" i="7"/>
  <c r="H166" i="7"/>
  <c r="I166" i="7"/>
  <c r="J166" i="7"/>
  <c r="K166" i="7"/>
  <c r="L166" i="7"/>
  <c r="H191" i="7"/>
  <c r="I191" i="7"/>
  <c r="J191" i="7"/>
  <c r="K191" i="7"/>
  <c r="L191" i="7"/>
  <c r="H188" i="7"/>
  <c r="I188" i="7"/>
  <c r="J188" i="7"/>
  <c r="K188" i="7"/>
  <c r="L188" i="7"/>
  <c r="H189" i="7"/>
  <c r="I189" i="7"/>
  <c r="J189" i="7"/>
  <c r="K189" i="7"/>
  <c r="L189" i="7"/>
  <c r="H173" i="7"/>
  <c r="I173" i="7"/>
  <c r="J173" i="7"/>
  <c r="K173" i="7"/>
  <c r="L173" i="7"/>
  <c r="H187" i="7"/>
  <c r="I187" i="7"/>
  <c r="J187" i="7"/>
  <c r="K187" i="7"/>
  <c r="L187" i="7"/>
  <c r="H183" i="7"/>
  <c r="I183" i="7"/>
  <c r="J183" i="7"/>
  <c r="K183" i="7"/>
  <c r="L183" i="7"/>
  <c r="H194" i="7"/>
  <c r="I194" i="7"/>
  <c r="J194" i="7"/>
  <c r="K194" i="7"/>
  <c r="L194" i="7"/>
  <c r="H174" i="7"/>
  <c r="I174" i="7"/>
  <c r="J174" i="7"/>
  <c r="K174" i="7"/>
  <c r="L174" i="7"/>
  <c r="H170" i="7"/>
  <c r="I170" i="7"/>
  <c r="J170" i="7"/>
  <c r="K170" i="7"/>
  <c r="L170" i="7"/>
  <c r="H169" i="7"/>
  <c r="I169" i="7"/>
  <c r="J169" i="7"/>
  <c r="K169" i="7"/>
  <c r="L169" i="7"/>
  <c r="H185" i="7"/>
  <c r="I185" i="7"/>
  <c r="J185" i="7"/>
  <c r="K185" i="7"/>
  <c r="L185" i="7"/>
  <c r="H168" i="7"/>
  <c r="I168" i="7"/>
  <c r="J168" i="7"/>
  <c r="K168" i="7"/>
  <c r="L168" i="7"/>
  <c r="H176" i="7"/>
  <c r="I176" i="7"/>
  <c r="J176" i="7"/>
  <c r="K176" i="7"/>
  <c r="L176" i="7"/>
  <c r="H179" i="7"/>
  <c r="I179" i="7"/>
  <c r="J179" i="7"/>
  <c r="K179" i="7"/>
  <c r="L179" i="7"/>
  <c r="H164" i="7"/>
  <c r="I164" i="7"/>
  <c r="J164" i="7"/>
  <c r="K164" i="7"/>
  <c r="L164" i="7"/>
  <c r="H162" i="7"/>
  <c r="I162" i="7"/>
  <c r="J162" i="7"/>
  <c r="K162" i="7"/>
  <c r="L162" i="7"/>
  <c r="H196" i="7"/>
  <c r="I196" i="7"/>
  <c r="J196" i="7"/>
  <c r="K196" i="7"/>
  <c r="L196" i="7"/>
  <c r="H184" i="7"/>
  <c r="I184" i="7"/>
  <c r="J184" i="7"/>
  <c r="K184" i="7"/>
  <c r="L184" i="7"/>
  <c r="H197" i="7"/>
  <c r="I197" i="7"/>
  <c r="J197" i="7"/>
  <c r="K197" i="7"/>
  <c r="L197" i="7"/>
  <c r="H163" i="7"/>
  <c r="I163" i="7"/>
  <c r="J163" i="7"/>
  <c r="K163" i="7"/>
  <c r="L163" i="7"/>
  <c r="H167" i="7"/>
  <c r="I167" i="7"/>
  <c r="J167" i="7"/>
  <c r="K167" i="7"/>
  <c r="L167" i="7"/>
  <c r="H171" i="7"/>
  <c r="I171" i="7"/>
  <c r="J171" i="7"/>
  <c r="K171" i="7"/>
  <c r="L171" i="7"/>
  <c r="H195" i="7"/>
  <c r="I195" i="7"/>
  <c r="J195" i="7"/>
  <c r="K195" i="7"/>
  <c r="L195" i="7"/>
  <c r="H177" i="7"/>
  <c r="I177" i="7"/>
  <c r="J177" i="7"/>
  <c r="K177" i="7"/>
  <c r="L177" i="7"/>
  <c r="L145" i="7"/>
  <c r="K145" i="7"/>
  <c r="J145" i="7"/>
  <c r="I145" i="7"/>
  <c r="H145" i="7"/>
  <c r="L138" i="7"/>
  <c r="K138" i="7"/>
  <c r="J138" i="7"/>
  <c r="I138" i="7"/>
  <c r="H138" i="7"/>
  <c r="L139" i="7"/>
  <c r="K139" i="7"/>
  <c r="J139" i="7"/>
  <c r="I139" i="7"/>
  <c r="H139" i="7"/>
  <c r="L136" i="7"/>
  <c r="K136" i="7"/>
  <c r="J136" i="7"/>
  <c r="I136" i="7"/>
  <c r="H136" i="7"/>
  <c r="L135" i="7"/>
  <c r="K135" i="7"/>
  <c r="J135" i="7"/>
  <c r="I135" i="7"/>
  <c r="H135" i="7"/>
  <c r="L137" i="7"/>
  <c r="K137" i="7"/>
  <c r="J137" i="7"/>
  <c r="I137" i="7"/>
  <c r="H137" i="7"/>
  <c r="L140" i="7"/>
  <c r="K140" i="7"/>
  <c r="J140" i="7"/>
  <c r="I140" i="7"/>
  <c r="H140" i="7"/>
  <c r="L129" i="7"/>
  <c r="K129" i="7"/>
  <c r="J129" i="7"/>
  <c r="I129" i="7"/>
  <c r="H129" i="7"/>
  <c r="L133" i="7"/>
  <c r="K133" i="7"/>
  <c r="J133" i="7"/>
  <c r="I133" i="7"/>
  <c r="H133" i="7"/>
  <c r="L8" i="7"/>
  <c r="K8" i="7"/>
  <c r="J8" i="7"/>
  <c r="I8" i="7"/>
  <c r="H8" i="7"/>
  <c r="L132" i="7"/>
  <c r="K132" i="7"/>
  <c r="J132" i="7"/>
  <c r="I132" i="7"/>
  <c r="H132" i="7"/>
  <c r="L134" i="7"/>
  <c r="K134" i="7"/>
  <c r="J134" i="7"/>
  <c r="I134" i="7"/>
  <c r="H134" i="7"/>
  <c r="L131" i="7"/>
  <c r="K131" i="7"/>
  <c r="J131" i="7"/>
  <c r="I131" i="7"/>
  <c r="H131" i="7"/>
  <c r="L130" i="7"/>
  <c r="K130" i="7"/>
  <c r="J130" i="7"/>
  <c r="I130" i="7"/>
  <c r="H130" i="7"/>
  <c r="L128" i="7"/>
  <c r="K128" i="7"/>
  <c r="J128" i="7"/>
  <c r="I128" i="7"/>
  <c r="H128" i="7"/>
  <c r="L122" i="7"/>
  <c r="K122" i="7"/>
  <c r="J122" i="7"/>
  <c r="I122" i="7"/>
  <c r="H122" i="7"/>
  <c r="L127" i="7"/>
  <c r="K127" i="7"/>
  <c r="J127" i="7"/>
  <c r="I127" i="7"/>
  <c r="H127" i="7"/>
  <c r="L125" i="7"/>
  <c r="K125" i="7"/>
  <c r="J125" i="7"/>
  <c r="I125" i="7"/>
  <c r="H125" i="7"/>
  <c r="L124" i="7"/>
  <c r="K124" i="7"/>
  <c r="J124" i="7"/>
  <c r="I124" i="7"/>
  <c r="H124" i="7"/>
  <c r="L126" i="7"/>
  <c r="K126" i="7"/>
  <c r="J126" i="7"/>
  <c r="I126" i="7"/>
  <c r="H126" i="7"/>
  <c r="L123" i="7"/>
  <c r="K123" i="7"/>
  <c r="J123" i="7"/>
  <c r="I123" i="7"/>
  <c r="H123" i="7"/>
  <c r="L117" i="7"/>
  <c r="K117" i="7"/>
  <c r="J117" i="7"/>
  <c r="I117" i="7"/>
  <c r="H117" i="7"/>
  <c r="L116" i="7"/>
  <c r="K116" i="7"/>
  <c r="J116" i="7"/>
  <c r="I116" i="7"/>
  <c r="H116" i="7"/>
  <c r="L114" i="7"/>
  <c r="K114" i="7"/>
  <c r="J114" i="7"/>
  <c r="I114" i="7"/>
  <c r="H114" i="7"/>
  <c r="L120" i="7"/>
  <c r="K120" i="7"/>
  <c r="J120" i="7"/>
  <c r="I120" i="7"/>
  <c r="H120" i="7"/>
  <c r="L118" i="7"/>
  <c r="K118" i="7"/>
  <c r="J118" i="7"/>
  <c r="I118" i="7"/>
  <c r="H118" i="7"/>
  <c r="L119" i="7"/>
  <c r="K119" i="7"/>
  <c r="J119" i="7"/>
  <c r="I119" i="7"/>
  <c r="H119" i="7"/>
  <c r="L115" i="7"/>
  <c r="K115" i="7"/>
  <c r="J115" i="7"/>
  <c r="I115" i="7"/>
  <c r="H115" i="7"/>
  <c r="L121" i="7"/>
  <c r="K121" i="7"/>
  <c r="J121" i="7"/>
  <c r="I121" i="7"/>
  <c r="H121" i="7"/>
  <c r="L109" i="7"/>
  <c r="K109" i="7"/>
  <c r="J109" i="7"/>
  <c r="I109" i="7"/>
  <c r="H109" i="7"/>
  <c r="L108" i="7"/>
  <c r="K108" i="7"/>
  <c r="J108" i="7"/>
  <c r="I108" i="7"/>
  <c r="H108" i="7"/>
  <c r="L112" i="7"/>
  <c r="K112" i="7"/>
  <c r="J112" i="7"/>
  <c r="I112" i="7"/>
  <c r="H112" i="7"/>
  <c r="L111" i="7"/>
  <c r="K111" i="7"/>
  <c r="J111" i="7"/>
  <c r="I111" i="7"/>
  <c r="H111" i="7"/>
  <c r="L107" i="7"/>
  <c r="K107" i="7"/>
  <c r="J107" i="7"/>
  <c r="I107" i="7"/>
  <c r="H107" i="7"/>
  <c r="L110" i="7"/>
  <c r="K110" i="7"/>
  <c r="J110" i="7"/>
  <c r="I110" i="7"/>
  <c r="H110" i="7"/>
  <c r="L113" i="7"/>
  <c r="K113" i="7"/>
  <c r="J113" i="7"/>
  <c r="I113" i="7"/>
  <c r="H113" i="7"/>
  <c r="L105" i="7"/>
  <c r="K105" i="7"/>
  <c r="J105" i="7"/>
  <c r="I105" i="7"/>
  <c r="H105" i="7"/>
  <c r="L102" i="7"/>
  <c r="K102" i="7"/>
  <c r="J102" i="7"/>
  <c r="I102" i="7"/>
  <c r="H102" i="7"/>
  <c r="L101" i="7"/>
  <c r="K101" i="7"/>
  <c r="J101" i="7"/>
  <c r="I101" i="7"/>
  <c r="H101" i="7"/>
  <c r="L106" i="7"/>
  <c r="K106" i="7"/>
  <c r="J106" i="7"/>
  <c r="I106" i="7"/>
  <c r="H106" i="7"/>
  <c r="L100" i="7"/>
  <c r="K100" i="7"/>
  <c r="J100" i="7"/>
  <c r="I100" i="7"/>
  <c r="H100" i="7"/>
  <c r="L103" i="7"/>
  <c r="K103" i="7"/>
  <c r="J103" i="7"/>
  <c r="I103" i="7"/>
  <c r="H103" i="7"/>
  <c r="L104" i="7"/>
  <c r="K104" i="7"/>
  <c r="J104" i="7"/>
  <c r="I104" i="7"/>
  <c r="H104" i="7"/>
  <c r="L99" i="7"/>
  <c r="K99" i="7"/>
  <c r="J99" i="7"/>
  <c r="I99" i="7"/>
  <c r="H99" i="7"/>
  <c r="L98" i="7"/>
  <c r="K98" i="7"/>
  <c r="J98" i="7"/>
  <c r="I98" i="7"/>
  <c r="H98" i="7"/>
  <c r="L90" i="7"/>
  <c r="K90" i="7"/>
  <c r="J90" i="7"/>
  <c r="I90" i="7"/>
  <c r="H90" i="7"/>
  <c r="L94" i="7"/>
  <c r="K94" i="7"/>
  <c r="J94" i="7"/>
  <c r="I94" i="7"/>
  <c r="H94" i="7"/>
  <c r="L95" i="7"/>
  <c r="K95" i="7"/>
  <c r="J95" i="7"/>
  <c r="I95" i="7"/>
  <c r="H95" i="7"/>
  <c r="L96" i="7"/>
  <c r="K96" i="7"/>
  <c r="J96" i="7"/>
  <c r="I96" i="7"/>
  <c r="H96" i="7"/>
  <c r="L91" i="7"/>
  <c r="K91" i="7"/>
  <c r="J91" i="7"/>
  <c r="I91" i="7"/>
  <c r="H91" i="7"/>
  <c r="L93" i="7"/>
  <c r="K93" i="7"/>
  <c r="J93" i="7"/>
  <c r="I93" i="7"/>
  <c r="H93" i="7"/>
  <c r="L89" i="7"/>
  <c r="K89" i="7"/>
  <c r="J89" i="7"/>
  <c r="I89" i="7"/>
  <c r="H89" i="7"/>
  <c r="L92" i="7"/>
  <c r="K92" i="7"/>
  <c r="J92" i="7"/>
  <c r="I92" i="7"/>
  <c r="H92" i="7"/>
  <c r="L97" i="7"/>
  <c r="K97" i="7"/>
  <c r="J97" i="7"/>
  <c r="I97" i="7"/>
  <c r="H97" i="7"/>
  <c r="L82" i="7"/>
  <c r="K82" i="7"/>
  <c r="J82" i="7"/>
  <c r="I82" i="7"/>
  <c r="H82" i="7"/>
  <c r="L87" i="7"/>
  <c r="K87" i="7"/>
  <c r="J87" i="7"/>
  <c r="I87" i="7"/>
  <c r="H87" i="7"/>
  <c r="L88" i="7"/>
  <c r="K88" i="7"/>
  <c r="J88" i="7"/>
  <c r="I88" i="7"/>
  <c r="H88" i="7"/>
  <c r="L85" i="7"/>
  <c r="K85" i="7"/>
  <c r="J85" i="7"/>
  <c r="I85" i="7"/>
  <c r="H85" i="7"/>
  <c r="L86" i="7"/>
  <c r="K86" i="7"/>
  <c r="J86" i="7"/>
  <c r="I86" i="7"/>
  <c r="H86" i="7"/>
  <c r="L84" i="7"/>
  <c r="K84" i="7"/>
  <c r="J84" i="7"/>
  <c r="I84" i="7"/>
  <c r="H84" i="7"/>
  <c r="L81" i="7"/>
  <c r="K81" i="7"/>
  <c r="J81" i="7"/>
  <c r="I81" i="7"/>
  <c r="H81" i="7"/>
  <c r="L83" i="7"/>
  <c r="K83" i="7"/>
  <c r="J83" i="7"/>
  <c r="I83" i="7"/>
  <c r="H83" i="7"/>
  <c r="L7" i="7"/>
  <c r="K7" i="7"/>
  <c r="J7" i="7"/>
  <c r="I7" i="7"/>
  <c r="H7" i="7"/>
  <c r="L80" i="7"/>
  <c r="K80" i="7"/>
  <c r="J80" i="7"/>
  <c r="I80" i="7"/>
  <c r="H80" i="7"/>
  <c r="L73" i="7"/>
  <c r="K73" i="7"/>
  <c r="J73" i="7"/>
  <c r="I73" i="7"/>
  <c r="H73" i="7"/>
  <c r="L75" i="7"/>
  <c r="K75" i="7"/>
  <c r="J75" i="7"/>
  <c r="I75" i="7"/>
  <c r="H75" i="7"/>
  <c r="L76" i="7"/>
  <c r="K76" i="7"/>
  <c r="J76" i="7"/>
  <c r="I76" i="7"/>
  <c r="H76" i="7"/>
  <c r="L79" i="7"/>
  <c r="K79" i="7"/>
  <c r="J79" i="7"/>
  <c r="I79" i="7"/>
  <c r="H79" i="7"/>
  <c r="L72" i="7"/>
  <c r="K72" i="7"/>
  <c r="J72" i="7"/>
  <c r="I72" i="7"/>
  <c r="H72" i="7"/>
  <c r="L74" i="7"/>
  <c r="K74" i="7"/>
  <c r="J74" i="7"/>
  <c r="I74" i="7"/>
  <c r="H74" i="7"/>
  <c r="L78" i="7"/>
  <c r="K78" i="7"/>
  <c r="J78" i="7"/>
  <c r="I78" i="7"/>
  <c r="H78" i="7"/>
  <c r="L77" i="7"/>
  <c r="K77" i="7"/>
  <c r="J77" i="7"/>
  <c r="I77" i="7"/>
  <c r="H77" i="7"/>
  <c r="L67" i="7"/>
  <c r="K67" i="7"/>
  <c r="J67" i="7"/>
  <c r="I67" i="7"/>
  <c r="H67" i="7"/>
  <c r="L70" i="7"/>
  <c r="K70" i="7"/>
  <c r="J70" i="7"/>
  <c r="I70" i="7"/>
  <c r="H70" i="7"/>
  <c r="L68" i="7"/>
  <c r="K68" i="7"/>
  <c r="J68" i="7"/>
  <c r="I68" i="7"/>
  <c r="H68" i="7"/>
  <c r="L71" i="7"/>
  <c r="K71" i="7"/>
  <c r="J71" i="7"/>
  <c r="I71" i="7"/>
  <c r="H71" i="7"/>
  <c r="L69" i="7"/>
  <c r="K69" i="7"/>
  <c r="J69" i="7"/>
  <c r="I69" i="7"/>
  <c r="H69" i="7"/>
  <c r="L65" i="7"/>
  <c r="K65" i="7"/>
  <c r="J65" i="7"/>
  <c r="I65" i="7"/>
  <c r="H65" i="7"/>
  <c r="L66" i="7"/>
  <c r="K66" i="7"/>
  <c r="J66" i="7"/>
  <c r="I66" i="7"/>
  <c r="H66" i="7"/>
  <c r="L64" i="7"/>
  <c r="K64" i="7"/>
  <c r="J64" i="7"/>
  <c r="I64" i="7"/>
  <c r="H64" i="7"/>
  <c r="L63" i="7"/>
  <c r="K63" i="7"/>
  <c r="J63" i="7"/>
  <c r="I63" i="7"/>
  <c r="H63" i="7"/>
  <c r="L59" i="7"/>
  <c r="K59" i="7"/>
  <c r="J59" i="7"/>
  <c r="I59" i="7"/>
  <c r="H59" i="7"/>
  <c r="L61" i="7"/>
  <c r="K61" i="7"/>
  <c r="J61" i="7"/>
  <c r="I61" i="7"/>
  <c r="H61" i="7"/>
  <c r="L60" i="7"/>
  <c r="K60" i="7"/>
  <c r="J60" i="7"/>
  <c r="I60" i="7"/>
  <c r="H60" i="7"/>
  <c r="L58" i="7"/>
  <c r="K58" i="7"/>
  <c r="J58" i="7"/>
  <c r="I58" i="7"/>
  <c r="H58" i="7"/>
  <c r="L62" i="7"/>
  <c r="K62" i="7"/>
  <c r="J62" i="7"/>
  <c r="I62" i="7"/>
  <c r="H62" i="7"/>
  <c r="L56" i="7"/>
  <c r="K56" i="7"/>
  <c r="J56" i="7"/>
  <c r="I56" i="7"/>
  <c r="H56" i="7"/>
  <c r="L57" i="7"/>
  <c r="K57" i="7"/>
  <c r="J57" i="7"/>
  <c r="I57" i="7"/>
  <c r="H57" i="7"/>
  <c r="L55" i="7"/>
  <c r="K55" i="7"/>
  <c r="J55" i="7"/>
  <c r="I55" i="7"/>
  <c r="H55" i="7"/>
  <c r="L54" i="7"/>
  <c r="K54" i="7"/>
  <c r="J54" i="7"/>
  <c r="I54" i="7"/>
  <c r="H54" i="7"/>
  <c r="L6" i="7"/>
  <c r="K6" i="7"/>
  <c r="J6" i="7"/>
  <c r="I6" i="7"/>
  <c r="H6" i="7"/>
  <c r="L53" i="7"/>
  <c r="K53" i="7"/>
  <c r="J53" i="7"/>
  <c r="I53" i="7"/>
  <c r="H53" i="7"/>
  <c r="L51" i="7"/>
  <c r="K51" i="7"/>
  <c r="J51" i="7"/>
  <c r="I51" i="7"/>
  <c r="H51" i="7"/>
  <c r="L52" i="7"/>
  <c r="K52" i="7"/>
  <c r="J52" i="7"/>
  <c r="I52" i="7"/>
  <c r="H52" i="7"/>
  <c r="L50" i="7"/>
  <c r="K50" i="7"/>
  <c r="J50" i="7"/>
  <c r="I50" i="7"/>
  <c r="H50" i="7"/>
  <c r="L48" i="7"/>
  <c r="K48" i="7"/>
  <c r="J48" i="7"/>
  <c r="I48" i="7"/>
  <c r="H48" i="7"/>
  <c r="L49" i="7"/>
  <c r="K49" i="7"/>
  <c r="J49" i="7"/>
  <c r="I49" i="7"/>
  <c r="H49" i="7"/>
  <c r="L47" i="7"/>
  <c r="K47" i="7"/>
  <c r="J47" i="7"/>
  <c r="I47" i="7"/>
  <c r="H47" i="7"/>
  <c r="L43" i="7"/>
  <c r="K43" i="7"/>
  <c r="J43" i="7"/>
  <c r="I43" i="7"/>
  <c r="H43" i="7"/>
  <c r="L46" i="7"/>
  <c r="K46" i="7"/>
  <c r="J46" i="7"/>
  <c r="I46" i="7"/>
  <c r="H46" i="7"/>
  <c r="L45" i="7"/>
  <c r="K45" i="7"/>
  <c r="J45" i="7"/>
  <c r="I45" i="7"/>
  <c r="H45" i="7"/>
  <c r="L44" i="7"/>
  <c r="K44" i="7"/>
  <c r="J44" i="7"/>
  <c r="I44" i="7"/>
  <c r="H44" i="7"/>
  <c r="L41" i="7"/>
  <c r="K41" i="7"/>
  <c r="J41" i="7"/>
  <c r="I41" i="7"/>
  <c r="H41" i="7"/>
  <c r="L42" i="7"/>
  <c r="K42" i="7"/>
  <c r="J42" i="7"/>
  <c r="I42" i="7"/>
  <c r="H42" i="7"/>
  <c r="L40" i="7"/>
  <c r="K40" i="7"/>
  <c r="J40" i="7"/>
  <c r="I40" i="7"/>
  <c r="H40" i="7"/>
  <c r="L38" i="7"/>
  <c r="K38" i="7"/>
  <c r="J38" i="7"/>
  <c r="I38" i="7"/>
  <c r="H38" i="7"/>
  <c r="L39" i="7"/>
  <c r="K39" i="7"/>
  <c r="J39" i="7"/>
  <c r="I39" i="7"/>
  <c r="H39" i="7"/>
  <c r="L37" i="7"/>
  <c r="K37" i="7"/>
  <c r="J37" i="7"/>
  <c r="I37" i="7"/>
  <c r="H37" i="7"/>
  <c r="L34" i="7"/>
  <c r="K34" i="7"/>
  <c r="J34" i="7"/>
  <c r="I34" i="7"/>
  <c r="H34" i="7"/>
  <c r="L35" i="7"/>
  <c r="K35" i="7"/>
  <c r="J35" i="7"/>
  <c r="I35" i="7"/>
  <c r="H35" i="7"/>
  <c r="L36" i="7"/>
  <c r="K36" i="7"/>
  <c r="J36" i="7"/>
  <c r="I36" i="7"/>
  <c r="H36" i="7"/>
  <c r="L33" i="7"/>
  <c r="K33" i="7"/>
  <c r="J33" i="7"/>
  <c r="I33" i="7"/>
  <c r="H33" i="7"/>
  <c r="L31" i="7"/>
  <c r="K31" i="7"/>
  <c r="J31" i="7"/>
  <c r="I31" i="7"/>
  <c r="H31" i="7"/>
  <c r="L32" i="7"/>
  <c r="K32" i="7"/>
  <c r="J32" i="7"/>
  <c r="I32" i="7"/>
  <c r="H32" i="7"/>
  <c r="L27" i="7"/>
  <c r="K27" i="7"/>
  <c r="J27" i="7"/>
  <c r="I27" i="7"/>
  <c r="H27" i="7"/>
  <c r="L26" i="7"/>
  <c r="K26" i="7"/>
  <c r="J26" i="7"/>
  <c r="I26" i="7"/>
  <c r="H26" i="7"/>
  <c r="L30" i="7"/>
  <c r="K30" i="7"/>
  <c r="J30" i="7"/>
  <c r="I30" i="7"/>
  <c r="H30" i="7"/>
  <c r="L28" i="7"/>
  <c r="K28" i="7"/>
  <c r="J28" i="7"/>
  <c r="I28" i="7"/>
  <c r="H28" i="7"/>
  <c r="L5" i="7"/>
  <c r="K5" i="7"/>
  <c r="J5" i="7"/>
  <c r="I5" i="7"/>
  <c r="H5" i="7"/>
  <c r="L29" i="7"/>
  <c r="K29" i="7"/>
  <c r="J29" i="7"/>
  <c r="I29" i="7"/>
  <c r="H29" i="7"/>
  <c r="L24" i="7"/>
  <c r="K24" i="7"/>
  <c r="J24" i="7"/>
  <c r="I24" i="7"/>
  <c r="H24" i="7"/>
  <c r="L23" i="7"/>
  <c r="K23" i="7"/>
  <c r="J23" i="7"/>
  <c r="I23" i="7"/>
  <c r="H23" i="7"/>
  <c r="L25" i="7"/>
  <c r="K25" i="7"/>
  <c r="J25" i="7"/>
  <c r="I25" i="7"/>
  <c r="H25" i="7"/>
  <c r="L22" i="7"/>
  <c r="K22" i="7"/>
  <c r="J22" i="7"/>
  <c r="I22" i="7"/>
  <c r="H22" i="7"/>
  <c r="L21" i="7"/>
  <c r="K21" i="7"/>
  <c r="J21" i="7"/>
  <c r="I21" i="7"/>
  <c r="H21" i="7"/>
  <c r="L20" i="7"/>
  <c r="K20" i="7"/>
  <c r="J20" i="7"/>
  <c r="I20" i="7"/>
  <c r="H20" i="7"/>
  <c r="L4" i="7"/>
  <c r="K4" i="7"/>
  <c r="J4" i="7"/>
  <c r="I4" i="7"/>
  <c r="H4" i="7"/>
  <c r="L19" i="7"/>
  <c r="K19" i="7"/>
  <c r="J19" i="7"/>
  <c r="I19" i="7"/>
  <c r="H19" i="7"/>
  <c r="L3" i="7"/>
  <c r="K3" i="7"/>
  <c r="J3" i="7"/>
  <c r="I3" i="7"/>
  <c r="H3" i="7"/>
  <c r="L16" i="7"/>
  <c r="K16" i="7"/>
  <c r="J16" i="7"/>
  <c r="I16" i="7"/>
  <c r="H16" i="7"/>
  <c r="L15" i="7"/>
  <c r="K15" i="7"/>
  <c r="J15" i="7"/>
  <c r="I15" i="7"/>
  <c r="H15" i="7"/>
  <c r="L18" i="7"/>
  <c r="K18" i="7"/>
  <c r="J18" i="7"/>
  <c r="I18" i="7"/>
  <c r="H18" i="7"/>
  <c r="L17" i="7"/>
  <c r="K17" i="7"/>
  <c r="J17" i="7"/>
  <c r="I17" i="7"/>
  <c r="H17" i="7"/>
  <c r="L14" i="7"/>
  <c r="K14" i="7"/>
  <c r="J14" i="7"/>
  <c r="I14" i="7"/>
  <c r="H14" i="7"/>
  <c r="L13" i="7"/>
  <c r="K13" i="7"/>
  <c r="J13" i="7"/>
  <c r="I13" i="7"/>
  <c r="H13" i="7"/>
  <c r="L2" i="7"/>
  <c r="K2" i="7"/>
  <c r="J2" i="7"/>
  <c r="I2" i="7"/>
  <c r="H2" i="7"/>
  <c r="L12" i="7"/>
  <c r="K12" i="7"/>
  <c r="J12" i="7"/>
  <c r="I12" i="7"/>
  <c r="H12" i="7"/>
  <c r="L11" i="7"/>
  <c r="K11" i="7"/>
  <c r="J11" i="7"/>
  <c r="I11" i="7"/>
  <c r="H11" i="7"/>
  <c r="L10" i="7"/>
  <c r="K10" i="7"/>
  <c r="J10" i="7"/>
  <c r="I10" i="7"/>
  <c r="H10" i="7"/>
  <c r="L9" i="7"/>
  <c r="P2" i="7"/>
  <c r="K9" i="7"/>
  <c r="O2" i="7"/>
  <c r="H9" i="7"/>
  <c r="N2" i="7"/>
  <c r="I9" i="7"/>
  <c r="M2" i="7"/>
  <c r="J9" i="7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O2" i="1"/>
  <c r="N2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P2" i="1"/>
</calcChain>
</file>

<file path=xl/sharedStrings.xml><?xml version="1.0" encoding="utf-8"?>
<sst xmlns="http://schemas.openxmlformats.org/spreadsheetml/2006/main" count="1694" uniqueCount="635">
  <si>
    <t>G</t>
  </si>
  <si>
    <t>Jerian Grant</t>
  </si>
  <si>
    <r>
      <t>NDAME</t>
    </r>
    <r>
      <rPr>
        <sz val="13"/>
        <color rgb="FF5F5F5F"/>
        <rFont val="Helvetica"/>
      </rPr>
      <t>@UNC</t>
    </r>
  </si>
  <si>
    <t>F</t>
  </si>
  <si>
    <t>Terran Petteway</t>
  </si>
  <si>
    <r>
      <t>NEB</t>
    </r>
    <r>
      <rPr>
        <sz val="13"/>
        <color rgb="FF5F5F5F"/>
        <rFont val="Helvetica"/>
      </rPr>
      <t>@IOWA</t>
    </r>
  </si>
  <si>
    <t>Shavon Shields</t>
  </si>
  <si>
    <t>Travis Trice</t>
  </si>
  <si>
    <r>
      <t>INDNA@</t>
    </r>
    <r>
      <rPr>
        <b/>
        <sz val="13"/>
        <color rgb="FF5F5F5F"/>
        <rFont val="Helvetica"/>
      </rPr>
      <t>MCHST</t>
    </r>
  </si>
  <si>
    <t>Aaron White</t>
  </si>
  <si>
    <r>
      <t>NEB@</t>
    </r>
    <r>
      <rPr>
        <b/>
        <sz val="13"/>
        <color rgb="FF5F5F5F"/>
        <rFont val="Helvetica"/>
      </rPr>
      <t>IOWA</t>
    </r>
  </si>
  <si>
    <t>Kennedy Meeks</t>
  </si>
  <si>
    <r>
      <t>NDAME@</t>
    </r>
    <r>
      <rPr>
        <b/>
        <sz val="13"/>
        <color rgb="FF5F5F5F"/>
        <rFont val="Helvetica"/>
      </rPr>
      <t>UNC</t>
    </r>
  </si>
  <si>
    <t>Buddy Hield</t>
  </si>
  <si>
    <r>
      <t>OKLA</t>
    </r>
    <r>
      <rPr>
        <sz val="13"/>
        <color rgb="FF5F5F5F"/>
        <rFont val="Helvetica"/>
      </rPr>
      <t>@TEX</t>
    </r>
  </si>
  <si>
    <t>Jarrod Uthoff</t>
  </si>
  <si>
    <t>Juwan Staten</t>
  </si>
  <si>
    <r>
      <t>WSTVA</t>
    </r>
    <r>
      <rPr>
        <sz val="13"/>
        <color rgb="FF5F5F5F"/>
        <rFont val="Helvetica"/>
      </rPr>
      <t>@TXTCH</t>
    </r>
  </si>
  <si>
    <t>Branden Dawson</t>
  </si>
  <si>
    <t>Isaiah Cousins</t>
  </si>
  <si>
    <t>Myles Turner</t>
  </si>
  <si>
    <r>
      <t>OKLA@</t>
    </r>
    <r>
      <rPr>
        <b/>
        <sz val="13"/>
        <color rgb="FF5F5F5F"/>
        <rFont val="Helvetica"/>
      </rPr>
      <t>TEX</t>
    </r>
  </si>
  <si>
    <t>Denzel Valentine</t>
  </si>
  <si>
    <t>Yogi Ferrell</t>
  </si>
  <si>
    <r>
      <t>INDNA</t>
    </r>
    <r>
      <rPr>
        <sz val="13"/>
        <color rgb="FF5F5F5F"/>
        <rFont val="Helvetica"/>
      </rPr>
      <t>@MCHST</t>
    </r>
  </si>
  <si>
    <t>Pat Connaughton</t>
  </si>
  <si>
    <t>Zach Auguste</t>
  </si>
  <si>
    <t>James Blackmon Jr.</t>
  </si>
  <si>
    <t>Jonathan Holmes</t>
  </si>
  <si>
    <t>Marcus Paige</t>
  </si>
  <si>
    <t>TaShawn Thomas</t>
  </si>
  <si>
    <t>Demetrius Jackson</t>
  </si>
  <si>
    <t>Jonathan Holton</t>
  </si>
  <si>
    <t>Ryan Spangler</t>
  </si>
  <si>
    <t>Brice Johnson</t>
  </si>
  <si>
    <t>Troy Williams</t>
  </si>
  <si>
    <t>J.P. Tokoto</t>
  </si>
  <si>
    <t>Devin Williams</t>
  </si>
  <si>
    <t>Hanner Mosquera-Perea</t>
  </si>
  <si>
    <t>Jordan Woodard</t>
  </si>
  <si>
    <t>Norense Odiase</t>
  </si>
  <si>
    <r>
      <t>WSTVA@</t>
    </r>
    <r>
      <rPr>
        <b/>
        <sz val="13"/>
        <color rgb="FF5F5F5F"/>
        <rFont val="Helvetica"/>
      </rPr>
      <t>TXTCH</t>
    </r>
  </si>
  <si>
    <t>Justin Jackson</t>
  </si>
  <si>
    <t>Jevon Carter</t>
  </si>
  <si>
    <t>Steve Vasturia</t>
  </si>
  <si>
    <t>Cameron Ridley</t>
  </si>
  <si>
    <t>Devaugntah Williams</t>
  </si>
  <si>
    <t>Javan Felix</t>
  </si>
  <si>
    <t>Robert Johnson</t>
  </si>
  <si>
    <t>Matt Costello</t>
  </si>
  <si>
    <t>Connor Lammert</t>
  </si>
  <si>
    <t>Walter Pitchford</t>
  </si>
  <si>
    <t>Robert Turner</t>
  </si>
  <si>
    <t>Abodurin Gabriel Olaseni</t>
  </si>
  <si>
    <t>Bryn Forbes</t>
  </si>
  <si>
    <t>Adam Woodbury</t>
  </si>
  <si>
    <t>Demarcus Holland</t>
  </si>
  <si>
    <t>Mike Gesell</t>
  </si>
  <si>
    <t>Gary Browne</t>
  </si>
  <si>
    <t>Gavin Schilling</t>
  </si>
  <si>
    <t>Daxter Miles Jr.</t>
  </si>
  <si>
    <t>Randy Onwuasor</t>
  </si>
  <si>
    <t>Jaysean Paige</t>
  </si>
  <si>
    <t>David Rivers</t>
  </si>
  <si>
    <t>Kendal Yancy</t>
  </si>
  <si>
    <t>Isaiah Manderson</t>
  </si>
  <si>
    <t>Josh Oglesby</t>
  </si>
  <si>
    <t>Benny Parker</t>
  </si>
  <si>
    <t>Tai Webster</t>
  </si>
  <si>
    <t>Keenan Evans</t>
  </si>
  <si>
    <t>Anthony Clemmons</t>
  </si>
  <si>
    <t>Nate Britt</t>
  </si>
  <si>
    <t>V.J. Beachem</t>
  </si>
  <si>
    <t>Dominque Uhl</t>
  </si>
  <si>
    <t>Brady Ellingson</t>
  </si>
  <si>
    <t>Lourawls Nairn Jr.</t>
  </si>
  <si>
    <t>Khadeem Lattin</t>
  </si>
  <si>
    <t>Trey Dickerson</t>
  </si>
  <si>
    <t>Bonzie Colson</t>
  </si>
  <si>
    <t>Theo Pinson</t>
  </si>
  <si>
    <t>Charlie Rose</t>
  </si>
  <si>
    <t>Joel Berry II</t>
  </si>
  <si>
    <t>Matt Farrell</t>
  </si>
  <si>
    <t>Martin Geben</t>
  </si>
  <si>
    <t>Marvin Clark Jr.</t>
  </si>
  <si>
    <t>Jeremiah April</t>
  </si>
  <si>
    <t>Tim Priller</t>
  </si>
  <si>
    <t>Nate Ritchie</t>
  </si>
  <si>
    <t>Jake Hammond</t>
  </si>
  <si>
    <t>Ryan Burton</t>
  </si>
  <si>
    <t>BillyDee Williams</t>
  </si>
  <si>
    <t>Max Hoetzel</t>
  </si>
  <si>
    <t>Ryan McClurg</t>
  </si>
  <si>
    <t>Tarik Phillip</t>
  </si>
  <si>
    <t>Zach Smith</t>
  </si>
  <si>
    <t>Justin Coleman</t>
  </si>
  <si>
    <t>Tarin Smith</t>
  </si>
  <si>
    <t>Emmitt Holt</t>
  </si>
  <si>
    <t>Jordan Barnett</t>
  </si>
  <si>
    <t>Justin Gray</t>
  </si>
  <si>
    <t>Matt Gregory</t>
  </si>
  <si>
    <t>Javon Bess</t>
  </si>
  <si>
    <t>Sasha Seymore</t>
  </si>
  <si>
    <t>Justin Jamison</t>
  </si>
  <si>
    <t>Dinjiyl Walker</t>
  </si>
  <si>
    <t>Trey Slate</t>
  </si>
  <si>
    <t>Nick Zeisloft</t>
  </si>
  <si>
    <t>Luke Davis</t>
  </si>
  <si>
    <r>
      <t>Leslee Smith</t>
    </r>
    <r>
      <rPr>
        <sz val="8"/>
        <color rgb="FF9B1010"/>
        <rFont val="Helvetica"/>
      </rPr>
      <t>O</t>
    </r>
  </si>
  <si>
    <t>Colby Wollenman</t>
  </si>
  <si>
    <t>Kevin Noreen</t>
  </si>
  <si>
    <t>Joel James</t>
  </si>
  <si>
    <t>Austin Burgett</t>
  </si>
  <si>
    <t>Danny Newsome</t>
  </si>
  <si>
    <t>Prince Ibeh</t>
  </si>
  <si>
    <t>C.J. Cole</t>
  </si>
  <si>
    <t>D.J. Bennett</t>
  </si>
  <si>
    <t>Clark Lammert</t>
  </si>
  <si>
    <t>Toddrick Gotcher</t>
  </si>
  <si>
    <t>Kye Kurkowski</t>
  </si>
  <si>
    <t>Keenan Wetzel</t>
  </si>
  <si>
    <t>Kyle Denning</t>
  </si>
  <si>
    <t>Moses Ayegba</t>
  </si>
  <si>
    <t>Trevor Menke</t>
  </si>
  <si>
    <t>Desmond Hubert</t>
  </si>
  <si>
    <t>Luke Adams</t>
  </si>
  <si>
    <t>James Fraschilla</t>
  </si>
  <si>
    <t>Stilman White</t>
  </si>
  <si>
    <t>Jackson Simmons</t>
  </si>
  <si>
    <t>Tyrone Hughes</t>
  </si>
  <si>
    <t>Aaron Ross</t>
  </si>
  <si>
    <t>Nick Fuller</t>
  </si>
  <si>
    <t>Stan Mays</t>
  </si>
  <si>
    <t>Alex Foster</t>
  </si>
  <si>
    <t>Alvin Ellis III</t>
  </si>
  <si>
    <t>Elijah Macon</t>
  </si>
  <si>
    <t>Peter Jok</t>
  </si>
  <si>
    <t>Chase Connor</t>
  </si>
  <si>
    <t>Tarale Murry</t>
  </si>
  <si>
    <t>Brandon Allums</t>
  </si>
  <si>
    <t>Okey Ukah</t>
  </si>
  <si>
    <t>Isaiah Hicks</t>
  </si>
  <si>
    <t>Stanford Robinson</t>
  </si>
  <si>
    <t>Brandon Watkins</t>
  </si>
  <si>
    <t>Nathan Adrian</t>
  </si>
  <si>
    <t>Trevor Bohnhoff</t>
  </si>
  <si>
    <t>Richard Romeo</t>
  </si>
  <si>
    <t>Austin Torres</t>
  </si>
  <si>
    <t>Frank Booker</t>
  </si>
  <si>
    <t>Collin Hartman</t>
  </si>
  <si>
    <r>
      <t>Devin Davis</t>
    </r>
    <r>
      <rPr>
        <sz val="8"/>
        <color rgb="FF9B1010"/>
        <rFont val="Helvetica"/>
      </rPr>
      <t>O</t>
    </r>
  </si>
  <si>
    <t>Austin Mankin</t>
  </si>
  <si>
    <t>James Long</t>
  </si>
  <si>
    <t>Daniel Harper</t>
  </si>
  <si>
    <t>Joe Schwartz</t>
  </si>
  <si>
    <t>Spend</t>
  </si>
  <si>
    <t>Points</t>
  </si>
  <si>
    <t>Position</t>
  </si>
  <si>
    <t>Player</t>
  </si>
  <si>
    <t>Cost</t>
  </si>
  <si>
    <t>touse</t>
  </si>
  <si>
    <t>price</t>
  </si>
  <si>
    <t>isguard</t>
  </si>
  <si>
    <t>isfwd</t>
  </si>
  <si>
    <t>fwds</t>
  </si>
  <si>
    <t>guards</t>
  </si>
  <si>
    <t>game</t>
  </si>
  <si>
    <t>gplayed</t>
  </si>
  <si>
    <t>Value</t>
  </si>
  <si>
    <t xml:space="preserve">Point </t>
  </si>
  <si>
    <t>Event</t>
  </si>
  <si>
    <t>Steal</t>
  </si>
  <si>
    <t>Turnover</t>
  </si>
  <si>
    <t xml:space="preserve">Rebound </t>
  </si>
  <si>
    <t xml:space="preserve">Assist </t>
  </si>
  <si>
    <t xml:space="preserve">Block </t>
  </si>
  <si>
    <t>D'Angelo Harrison</t>
  </si>
  <si>
    <t>VLLNV@SJOHN</t>
  </si>
  <si>
    <t>LaDontae Henton</t>
  </si>
  <si>
    <t>PROV@BUTLR</t>
  </si>
  <si>
    <t>Kris Dunn</t>
  </si>
  <si>
    <t>D'Angelo Russell</t>
  </si>
  <si>
    <t>OHSTA@MINN</t>
  </si>
  <si>
    <t>D.J. Newbill</t>
  </si>
  <si>
    <t>MICH@PENST</t>
  </si>
  <si>
    <t>Sir'Dominic Pointer</t>
  </si>
  <si>
    <t>Damian Jones</t>
  </si>
  <si>
    <t>AUBRN@VANDB</t>
  </si>
  <si>
    <t>Olivier Hanlan</t>
  </si>
  <si>
    <t>PITT@BOSTC</t>
  </si>
  <si>
    <t>Georges Niang</t>
  </si>
  <si>
    <t>OKST@IOWST</t>
  </si>
  <si>
    <t>Caris LeVert</t>
  </si>
  <si>
    <t>Levi Randolph</t>
  </si>
  <si>
    <t>TEXAM@ALBMA</t>
  </si>
  <si>
    <t>Ryan Boatright</t>
  </si>
  <si>
    <t>UCONN@SOFLA</t>
  </si>
  <si>
    <t>Le'Bryan Nash</t>
  </si>
  <si>
    <t>Bobby Portis</t>
  </si>
  <si>
    <t>ARK@GRGIA</t>
  </si>
  <si>
    <t>Cinmeon Bowers</t>
  </si>
  <si>
    <t>Phil Forte</t>
  </si>
  <si>
    <t>Marcus Thornton</t>
  </si>
  <si>
    <t>Octavius Ellis</t>
  </si>
  <si>
    <t>ECAR@CIN</t>
  </si>
  <si>
    <t>Michael Young</t>
  </si>
  <si>
    <t>Chris Obekpa</t>
  </si>
  <si>
    <t>Alex Caruso</t>
  </si>
  <si>
    <t>Bryce Jones</t>
  </si>
  <si>
    <t>Chris Perry</t>
  </si>
  <si>
    <t>Jalen Jones</t>
  </si>
  <si>
    <t>D'Vauntes Smith-Rivera</t>
  </si>
  <si>
    <t>MRQTT@GTOWN</t>
  </si>
  <si>
    <t>Willie Cauley-Stein</t>
  </si>
  <si>
    <t>MISSP@KTCKY</t>
  </si>
  <si>
    <t>Juan Anderson</t>
  </si>
  <si>
    <t>Roosevelt Jones</t>
  </si>
  <si>
    <t>Daniel Hamilton</t>
  </si>
  <si>
    <t>Matt Carlino</t>
  </si>
  <si>
    <t>Shannon Scott</t>
  </si>
  <si>
    <t>Corey Allen Jr.</t>
  </si>
  <si>
    <t>Monte Morris</t>
  </si>
  <si>
    <t>Danuel House</t>
  </si>
  <si>
    <t>Jarvis Summers</t>
  </si>
  <si>
    <t>K.T. Harrell</t>
  </si>
  <si>
    <t>James Robinson</t>
  </si>
  <si>
    <t>Daniel Ochefu</t>
  </si>
  <si>
    <t>Charles Mann</t>
  </si>
  <si>
    <t>Amida Brimah</t>
  </si>
  <si>
    <t>Rashad Madden</t>
  </si>
  <si>
    <t>Michael Qualls</t>
  </si>
  <si>
    <t>Maurice Walker</t>
  </si>
  <si>
    <t>JayVaughn Pinkston</t>
  </si>
  <si>
    <t>Deandre Mathieu</t>
  </si>
  <si>
    <t>Carlos Morris</t>
  </si>
  <si>
    <t>Joshua Smith</t>
  </si>
  <si>
    <t>Rysheed Jordan</t>
  </si>
  <si>
    <t>Gary Clark</t>
  </si>
  <si>
    <t>Montay Brandon</t>
  </si>
  <si>
    <t>VTECH@FLAST</t>
  </si>
  <si>
    <t>Darrun Hilliard</t>
  </si>
  <si>
    <t>Josh Hart</t>
  </si>
  <si>
    <t>Derrick Walton Jr.</t>
  </si>
  <si>
    <t>Karl-Anthony Towns</t>
  </si>
  <si>
    <t>Xavier Rathan-Mayes</t>
  </si>
  <si>
    <t>Kameron Woods</t>
  </si>
  <si>
    <t>Kellen Dunham</t>
  </si>
  <si>
    <t>B.J. Tyson</t>
  </si>
  <si>
    <t>Nemanja Djurisic</t>
  </si>
  <si>
    <t>Ricky Tarrant</t>
  </si>
  <si>
    <t>Zak Irvin</t>
  </si>
  <si>
    <t>Dakari Johnson</t>
  </si>
  <si>
    <t>Tyler Harris</t>
  </si>
  <si>
    <t>Ladarius White</t>
  </si>
  <si>
    <t>Alandise Harris</t>
  </si>
  <si>
    <t>Wade Baldwin IV</t>
  </si>
  <si>
    <t>Dustin Hogue</t>
  </si>
  <si>
    <t>Sam Thompson</t>
  </si>
  <si>
    <t>Carson Desrosiers</t>
  </si>
  <si>
    <t>Alex Barlow</t>
  </si>
  <si>
    <t>Michael Cobbins</t>
  </si>
  <si>
    <t>Anthony Hickey</t>
  </si>
  <si>
    <t>Trey Lyles</t>
  </si>
  <si>
    <t>Anthony Collins</t>
  </si>
  <si>
    <t>Andre Hollins</t>
  </si>
  <si>
    <t>Kenny Gaines</t>
  </si>
  <si>
    <t>Kentan Facey</t>
  </si>
  <si>
    <t>Stefan Moody</t>
  </si>
  <si>
    <t>Dylan Ennis</t>
  </si>
  <si>
    <t>Antoine Mason</t>
  </si>
  <si>
    <t>Duane Wilson</t>
  </si>
  <si>
    <t>Troy Caupain</t>
  </si>
  <si>
    <t>Marc Loving</t>
  </si>
  <si>
    <t>Josh Newkirk</t>
  </si>
  <si>
    <t>L.J. Peak</t>
  </si>
  <si>
    <t>Aaron Brown</t>
  </si>
  <si>
    <t>Chris Jones</t>
  </si>
  <si>
    <t>Patrick Heckmann</t>
  </si>
  <si>
    <t>Nate Mason</t>
  </si>
  <si>
    <t>Nehemias Morillo</t>
  </si>
  <si>
    <t>James Siakam</t>
  </si>
  <si>
    <t>Rodney Cooper</t>
  </si>
  <si>
    <t>Jabril Trawick</t>
  </si>
  <si>
    <t>Aaron Harrison</t>
  </si>
  <si>
    <t>Brandon Taylor</t>
  </si>
  <si>
    <t>Naz Long</t>
  </si>
  <si>
    <t>Caleb White</t>
  </si>
  <si>
    <t>Shannon Hale</t>
  </si>
  <si>
    <t>Andrew Chrabascz</t>
  </si>
  <si>
    <t>Devon Bookert</t>
  </si>
  <si>
    <t>Anthlon Bell</t>
  </si>
  <si>
    <t>Devin Wilson</t>
  </si>
  <si>
    <t>Phil Greene</t>
  </si>
  <si>
    <t>Kourtney Roberson</t>
  </si>
  <si>
    <t>Dimitri Batten</t>
  </si>
  <si>
    <t>Joey Van Zegeren</t>
  </si>
  <si>
    <t>Riley LaChance</t>
  </si>
  <si>
    <t>Andrew Harrison</t>
  </si>
  <si>
    <t>Luke Kornet</t>
  </si>
  <si>
    <t>Jamel Artis</t>
  </si>
  <si>
    <t>Terry Whisnant II</t>
  </si>
  <si>
    <t>Ricky Doyle</t>
  </si>
  <si>
    <t>Mikael Hopkins</t>
  </si>
  <si>
    <t>Paris Roberts-Campbell</t>
  </si>
  <si>
    <t>Michael Albrecht</t>
  </si>
  <si>
    <t>Jimmie Taylor</t>
  </si>
  <si>
    <t>Ryan Arcidiacono</t>
  </si>
  <si>
    <t>Michael Kessens</t>
  </si>
  <si>
    <t>Shep Garner</t>
  </si>
  <si>
    <t>Adam Smith</t>
  </si>
  <si>
    <t>Bo Zeigler</t>
  </si>
  <si>
    <t>Tyler Ulis</t>
  </si>
  <si>
    <t>Martavious Newby</t>
  </si>
  <si>
    <t>Shaquille Thomas</t>
  </si>
  <si>
    <t>Justin Bibbs</t>
  </si>
  <si>
    <t>J.J. Frazier</t>
  </si>
  <si>
    <t>Steve Taylor</t>
  </si>
  <si>
    <t>Ross Travis</t>
  </si>
  <si>
    <t>Jordan Green</t>
  </si>
  <si>
    <t>Devin Booker</t>
  </si>
  <si>
    <t>Dennis Clifford</t>
  </si>
  <si>
    <t>Boris Bojanovsky</t>
  </si>
  <si>
    <t>Derrick Wilson</t>
  </si>
  <si>
    <t>John Johnson</t>
  </si>
  <si>
    <t>Jarquez Smith</t>
  </si>
  <si>
    <t>Joey King</t>
  </si>
  <si>
    <t>Farad Cobb</t>
  </si>
  <si>
    <t>Jeff Newberry</t>
  </si>
  <si>
    <t>Ruben Guerrero</t>
  </si>
  <si>
    <t>Jeffrey Carroll</t>
  </si>
  <si>
    <t>Amir Williams</t>
  </si>
  <si>
    <t>Juwan Parker</t>
  </si>
  <si>
    <t>Alex Robinson</t>
  </si>
  <si>
    <t>Shelton Mitchell</t>
  </si>
  <si>
    <t>Matt Thomas</t>
  </si>
  <si>
    <t>Elliott Eliason</t>
  </si>
  <si>
    <t>M.J. Rhett</t>
  </si>
  <si>
    <t>Rodney Purvis</t>
  </si>
  <si>
    <t>K.C. Ross-Miller</t>
  </si>
  <si>
    <t>Moses Kingsley</t>
  </si>
  <si>
    <t>Yante Maten</t>
  </si>
  <si>
    <t>Kameron Chatman</t>
  </si>
  <si>
    <t>Jamal Branch</t>
  </si>
  <si>
    <t>Antonio Robinson</t>
  </si>
  <si>
    <t>Manuale Watkins</t>
  </si>
  <si>
    <t>Kris Jenkins</t>
  </si>
  <si>
    <t>Paul White</t>
  </si>
  <si>
    <t>Ahmed Hill</t>
  </si>
  <si>
    <t>Sebastian Saiz</t>
  </si>
  <si>
    <t>Riley Norris</t>
  </si>
  <si>
    <t>Anton Beard</t>
  </si>
  <si>
    <t>Abdel Nader</t>
  </si>
  <si>
    <t>Jacorey Williams</t>
  </si>
  <si>
    <t>Matthew Fisher-Davis</t>
  </si>
  <si>
    <t>Jordon Granger</t>
  </si>
  <si>
    <t>Omar Calhoun</t>
  </si>
  <si>
    <t>Kyron Cartwright</t>
  </si>
  <si>
    <t>Ben Bentil</t>
  </si>
  <si>
    <t>Kelan Martin</t>
  </si>
  <si>
    <t>Trey McDonald</t>
  </si>
  <si>
    <t>Keita Bates-Diop</t>
  </si>
  <si>
    <t>Jae'Sean Tate</t>
  </si>
  <si>
    <t>Anthony Allen, Jr.</t>
  </si>
  <si>
    <t>Lance Tejada</t>
  </si>
  <si>
    <t>Trayvon Reed</t>
  </si>
  <si>
    <t>Aaron Jones</t>
  </si>
  <si>
    <t>Jeff Roberson</t>
  </si>
  <si>
    <t>Jalen Hudson</t>
  </si>
  <si>
    <t>Malik Muller</t>
  </si>
  <si>
    <t>Donovan Jack</t>
  </si>
  <si>
    <t>Geno Thorpe</t>
  </si>
  <si>
    <t>Malcolm Canada</t>
  </si>
  <si>
    <t>Tahj Shamsid-Deen</t>
  </si>
  <si>
    <t>Aaron Bowen</t>
  </si>
  <si>
    <t>Michael Zangari</t>
  </si>
  <si>
    <t>Michel-Ofik Nzege</t>
  </si>
  <si>
    <t>JaJuan Johnson</t>
  </si>
  <si>
    <t>Daniel Edozie</t>
  </si>
  <si>
    <t>Kiel Turpin</t>
  </si>
  <si>
    <t>Eddie Odio</t>
  </si>
  <si>
    <t>Cameron Wright</t>
  </si>
  <si>
    <t>Phil Cofer</t>
  </si>
  <si>
    <t>Kam Williams</t>
  </si>
  <si>
    <t>Jermaine Sanders</t>
  </si>
  <si>
    <t>Dwight Coleby</t>
  </si>
  <si>
    <r>
      <t>PROV</t>
    </r>
    <r>
      <rPr>
        <sz val="12"/>
        <color rgb="FF5F5F5F"/>
        <rFont val="Helvetica"/>
      </rPr>
      <t>@BUTLR</t>
    </r>
  </si>
  <si>
    <r>
      <t>OHSTA</t>
    </r>
    <r>
      <rPr>
        <sz val="12"/>
        <color rgb="FF5F5F5F"/>
        <rFont val="Helvetica"/>
      </rPr>
      <t>@MINN</t>
    </r>
  </si>
  <si>
    <r>
      <t>MICH</t>
    </r>
    <r>
      <rPr>
        <sz val="12"/>
        <color rgb="FF5F5F5F"/>
        <rFont val="Helvetica"/>
      </rPr>
      <t>@PENST</t>
    </r>
  </si>
  <si>
    <r>
      <t>UCONN</t>
    </r>
    <r>
      <rPr>
        <sz val="12"/>
        <color rgb="FF5F5F5F"/>
        <rFont val="Helvetica"/>
      </rPr>
      <t>@SOFLA</t>
    </r>
  </si>
  <si>
    <r>
      <t>OKST</t>
    </r>
    <r>
      <rPr>
        <sz val="12"/>
        <color rgb="FF5F5F5F"/>
        <rFont val="Helvetica"/>
      </rPr>
      <t>@IOWST</t>
    </r>
  </si>
  <si>
    <r>
      <t>ARK</t>
    </r>
    <r>
      <rPr>
        <sz val="12"/>
        <color rgb="FF5F5F5F"/>
        <rFont val="Helvetica"/>
      </rPr>
      <t>@GRGIA</t>
    </r>
  </si>
  <si>
    <r>
      <t>AUBRN</t>
    </r>
    <r>
      <rPr>
        <sz val="12"/>
        <color rgb="FF5F5F5F"/>
        <rFont val="Helvetica"/>
      </rPr>
      <t>@VANDB</t>
    </r>
  </si>
  <si>
    <r>
      <t>PITT</t>
    </r>
    <r>
      <rPr>
        <sz val="12"/>
        <color rgb="FF5F5F5F"/>
        <rFont val="Helvetica"/>
      </rPr>
      <t>@BOSTC</t>
    </r>
  </si>
  <si>
    <r>
      <t>TEXAM</t>
    </r>
    <r>
      <rPr>
        <sz val="12"/>
        <color rgb="FF5F5F5F"/>
        <rFont val="Helvetica"/>
      </rPr>
      <t>@ALBMA</t>
    </r>
  </si>
  <si>
    <r>
      <t>MRQTT</t>
    </r>
    <r>
      <rPr>
        <sz val="12"/>
        <color rgb="FF5F5F5F"/>
        <rFont val="Helvetica"/>
      </rPr>
      <t>@GTOWN</t>
    </r>
  </si>
  <si>
    <r>
      <t>MISSP</t>
    </r>
    <r>
      <rPr>
        <sz val="12"/>
        <color rgb="FF5F5F5F"/>
        <rFont val="Helvetica"/>
      </rPr>
      <t>@KTCKY</t>
    </r>
  </si>
  <si>
    <r>
      <t>VLLNV</t>
    </r>
    <r>
      <rPr>
        <sz val="12"/>
        <color rgb="FF5F5F5F"/>
        <rFont val="Helvetica"/>
      </rPr>
      <t>@SJOHN</t>
    </r>
  </si>
  <si>
    <r>
      <t>ECAR</t>
    </r>
    <r>
      <rPr>
        <sz val="12"/>
        <color rgb="FF5F5F5F"/>
        <rFont val="Helvetica"/>
      </rPr>
      <t>@CIN</t>
    </r>
  </si>
  <si>
    <r>
      <t>VTECH</t>
    </r>
    <r>
      <rPr>
        <sz val="12"/>
        <color rgb="FF5F5F5F"/>
        <rFont val="Helvetica"/>
      </rPr>
      <t>@FLAST</t>
    </r>
  </si>
  <si>
    <r>
      <t>Daquein McNeil</t>
    </r>
    <r>
      <rPr>
        <sz val="12"/>
        <color rgb="FF9B1010"/>
        <rFont val="Helvetica"/>
      </rPr>
      <t>O</t>
    </r>
  </si>
  <si>
    <t>Frank Kaminsky</t>
  </si>
  <si>
    <t>PURDU@WISCN</t>
  </si>
  <si>
    <t>Delon Wright</t>
  </si>
  <si>
    <t>CLRDO@UTAH</t>
  </si>
  <si>
    <t>Tyrone Wallace</t>
  </si>
  <si>
    <r>
      <t>CAL</t>
    </r>
    <r>
      <rPr>
        <sz val="12"/>
        <color rgb="FF5F5F5F"/>
        <rFont val="Helvetica"/>
      </rPr>
      <t>@USC</t>
    </r>
  </si>
  <si>
    <t>Jahlil Okafor</t>
  </si>
  <si>
    <r>
      <t>DUKE</t>
    </r>
    <r>
      <rPr>
        <sz val="12"/>
        <color rgb="FF5F5F5F"/>
        <rFont val="Helvetica"/>
      </rPr>
      <t>@WAKE</t>
    </r>
  </si>
  <si>
    <t>Montrezl Harrell</t>
  </si>
  <si>
    <t>CLEMS@LOUIS</t>
  </si>
  <si>
    <t>MRLND@ILLIN</t>
  </si>
  <si>
    <t>Rakeem Christmas</t>
  </si>
  <si>
    <r>
      <t>SYRCS</t>
    </r>
    <r>
      <rPr>
        <sz val="12"/>
        <color rgb="FF5F5F5F"/>
        <rFont val="Helvetica"/>
      </rPr>
      <t>@GTECH</t>
    </r>
  </si>
  <si>
    <t>Josh Richardson</t>
  </si>
  <si>
    <r>
      <t>TENN</t>
    </r>
    <r>
      <rPr>
        <sz val="12"/>
        <color rgb="FF5F5F5F"/>
        <rFont val="Helvetica"/>
      </rPr>
      <t>@MISST</t>
    </r>
  </si>
  <si>
    <t>Devin Thomas</t>
  </si>
  <si>
    <t>DUKE@WAKE</t>
  </si>
  <si>
    <t>Will Cummings</t>
  </si>
  <si>
    <r>
      <t>TEMPL</t>
    </r>
    <r>
      <rPr>
        <sz val="12"/>
        <color rgb="FF5F5F5F"/>
        <rFont val="Helvetica"/>
      </rPr>
      <t>@TLANE</t>
    </r>
  </si>
  <si>
    <t>Dezmine Wells</t>
  </si>
  <si>
    <r>
      <t>MRLND</t>
    </r>
    <r>
      <rPr>
        <sz val="12"/>
        <color rgb="FF5F5F5F"/>
        <rFont val="Helvetica"/>
      </rPr>
      <t>@ILLIN</t>
    </r>
  </si>
  <si>
    <t>Melo Trimble</t>
  </si>
  <si>
    <r>
      <t>CLRDO</t>
    </r>
    <r>
      <rPr>
        <sz val="12"/>
        <color rgb="FF5F5F5F"/>
        <rFont val="Helvetica"/>
      </rPr>
      <t>@UTAH</t>
    </r>
  </si>
  <si>
    <t>Sterling Gibbs</t>
  </si>
  <si>
    <r>
      <t>STNHL</t>
    </r>
    <r>
      <rPr>
        <sz val="12"/>
        <color rgb="FF5F5F5F"/>
        <rFont val="Helvetica"/>
      </rPr>
      <t>@XAV</t>
    </r>
  </si>
  <si>
    <t>Chris McCullough</t>
  </si>
  <si>
    <t>Trevor Lacey</t>
  </si>
  <si>
    <r>
      <t>NCSTA</t>
    </r>
    <r>
      <rPr>
        <sz val="12"/>
        <color rgb="FF5F5F5F"/>
        <rFont val="Helvetica"/>
      </rPr>
      <t>@VIRG</t>
    </r>
  </si>
  <si>
    <t>Terry Rozier</t>
  </si>
  <si>
    <t>Ricardo Gathers</t>
  </si>
  <si>
    <t>KANS@BAYLR</t>
  </si>
  <si>
    <t>Armani Moore</t>
  </si>
  <si>
    <t>Sindarius Thornwell</t>
  </si>
  <si>
    <t>FLORI@SOCAR</t>
  </si>
  <si>
    <t>Frank Mason</t>
  </si>
  <si>
    <r>
      <t>KANS</t>
    </r>
    <r>
      <rPr>
        <sz val="12"/>
        <color rgb="FF5F5F5F"/>
        <rFont val="Helvetica"/>
      </rPr>
      <t>@BAYLR</t>
    </r>
  </si>
  <si>
    <t>Justin Anderson</t>
  </si>
  <si>
    <t>NCSTA@VIRG</t>
  </si>
  <si>
    <t>Jake Layman</t>
  </si>
  <si>
    <t>Kyan Anderson</t>
  </si>
  <si>
    <r>
      <t>TCU</t>
    </r>
    <r>
      <rPr>
        <sz val="12"/>
        <color rgb="FF5F5F5F"/>
        <rFont val="Helvetica"/>
      </rPr>
      <t>@KANST</t>
    </r>
  </si>
  <si>
    <t>Jakob Poeltl</t>
  </si>
  <si>
    <t>Matt Stainbrook</t>
  </si>
  <si>
    <t>STNHL@XAV</t>
  </si>
  <si>
    <t>Anthony Gill</t>
  </si>
  <si>
    <t>David Kravish</t>
  </si>
  <si>
    <t>Michael Frazier II</t>
  </si>
  <si>
    <r>
      <t>FLORI</t>
    </r>
    <r>
      <rPr>
        <sz val="12"/>
        <color rgb="FF5F5F5F"/>
        <rFont val="Helvetica"/>
      </rPr>
      <t>@SOCAR</t>
    </r>
  </si>
  <si>
    <t>Nigel Hayes</t>
  </si>
  <si>
    <t>Jaron Blossomgame</t>
  </si>
  <si>
    <r>
      <t>CLEMS</t>
    </r>
    <r>
      <rPr>
        <sz val="12"/>
        <color rgb="FF5F5F5F"/>
        <rFont val="Helvetica"/>
      </rPr>
      <t>@LOUIS</t>
    </r>
  </si>
  <si>
    <t>Askia Booker</t>
  </si>
  <si>
    <t>Gavin Ware</t>
  </si>
  <si>
    <t>TENN@MISST</t>
  </si>
  <si>
    <t>Myke Henry</t>
  </si>
  <si>
    <r>
      <t>DPAUL</t>
    </r>
    <r>
      <rPr>
        <sz val="12"/>
        <color rgb="FF5F5F5F"/>
        <rFont val="Helvetica"/>
      </rPr>
      <t>@CREIG</t>
    </r>
  </si>
  <si>
    <t>Dorian Finney-Smith</t>
  </si>
  <si>
    <t>Jesse Morgan</t>
  </si>
  <si>
    <t>Quinn Cook</t>
  </si>
  <si>
    <t>A.J. Hammons</t>
  </si>
  <si>
    <r>
      <t>PURDU</t>
    </r>
    <r>
      <rPr>
        <sz val="12"/>
        <color rgb="FF5F5F5F"/>
        <rFont val="Helvetica"/>
      </rPr>
      <t>@WISCN</t>
    </r>
  </si>
  <si>
    <t>Jonathan Stark</t>
  </si>
  <si>
    <t>TEMPL@TLANE</t>
  </si>
  <si>
    <t>Austin Chatman</t>
  </si>
  <si>
    <t>DPAUL@CREIG</t>
  </si>
  <si>
    <t>Jordan Mathews</t>
  </si>
  <si>
    <t>Wayne Blackshear</t>
  </si>
  <si>
    <t>Angel Delgado</t>
  </si>
  <si>
    <t>Tommy Hamilton Jr.</t>
  </si>
  <si>
    <t>Quenton DeCosey</t>
  </si>
  <si>
    <t>Royce O'Neale</t>
  </si>
  <si>
    <t>Perry Ellis</t>
  </si>
  <si>
    <t>Taurean Waller-Prince</t>
  </si>
  <si>
    <t>Xavier Johnson</t>
  </si>
  <si>
    <t>Marcus Hunt</t>
  </si>
  <si>
    <t>SYRCS@GTECH</t>
  </si>
  <si>
    <t>Charles Mitchell</t>
  </si>
  <si>
    <t>Brandon Mobley</t>
  </si>
  <si>
    <t>Jordan McLaughlin</t>
  </si>
  <si>
    <t>CAL@USC</t>
  </si>
  <si>
    <t>Michael Gbinije</t>
  </si>
  <si>
    <t>Jaylen Bond</t>
  </si>
  <si>
    <t>Duane Notice</t>
  </si>
  <si>
    <t>Wesley Gordon</t>
  </si>
  <si>
    <t>Justise Winslow</t>
  </si>
  <si>
    <t>Sam Dekker</t>
  </si>
  <si>
    <t>Vince Edwards</t>
  </si>
  <si>
    <t>Malcolm Brogdon</t>
  </si>
  <si>
    <t>Landry Nnoko</t>
  </si>
  <si>
    <t>Anthony Barber</t>
  </si>
  <si>
    <t>Nikola Jovanovic</t>
  </si>
  <si>
    <t>Tyrone Johnson</t>
  </si>
  <si>
    <t>Kaleb Joseph</t>
  </si>
  <si>
    <t>Thomas Gipson</t>
  </si>
  <si>
    <t>TCU@KANST</t>
  </si>
  <si>
    <t>Fred Thomas</t>
  </si>
  <si>
    <t>Billy Garrett Jr.</t>
  </si>
  <si>
    <t>Tyus Jones</t>
  </si>
  <si>
    <t>Codi Miller-McIntyre</t>
  </si>
  <si>
    <t>Malcolm Hill</t>
  </si>
  <si>
    <t>Karviar Shepherd</t>
  </si>
  <si>
    <t>Kendall Stephens</t>
  </si>
  <si>
    <t>Mike Tobey</t>
  </si>
  <si>
    <t>Jamee Crockett</t>
  </si>
  <si>
    <t>Trevor Cooney</t>
  </si>
  <si>
    <t>Dee Davis</t>
  </si>
  <si>
    <t>Donte Grantham</t>
  </si>
  <si>
    <t>Demarco Cox</t>
  </si>
  <si>
    <t>Kasey Hill</t>
  </si>
  <si>
    <t>Kevin Punter</t>
  </si>
  <si>
    <t>Trevon Bluiett</t>
  </si>
  <si>
    <t>Devin Brooks</t>
  </si>
  <si>
    <t>Jon Horford</t>
  </si>
  <si>
    <t>Louis Dabney</t>
  </si>
  <si>
    <t>Damarcus Harrison</t>
  </si>
  <si>
    <t>Kenrich Williams</t>
  </si>
  <si>
    <t>Raphael Davis</t>
  </si>
  <si>
    <t>Marcus Foster</t>
  </si>
  <si>
    <t>Rasheed Sulaimon</t>
  </si>
  <si>
    <t>Amile Jefferson</t>
  </si>
  <si>
    <t>Damonte Dodd</t>
  </si>
  <si>
    <t>Chris Washburn</t>
  </si>
  <si>
    <t>Trey Zeigler</t>
  </si>
  <si>
    <t>Julian Jacobs</t>
  </si>
  <si>
    <t>Johnathan Motley</t>
  </si>
  <si>
    <t>Traevon Jackson</t>
  </si>
  <si>
    <t>Kyle Washington</t>
  </si>
  <si>
    <t>Jonathan Octeus</t>
  </si>
  <si>
    <t>Kenny Chery</t>
  </si>
  <si>
    <t>Laimonas Chatkevicius</t>
  </si>
  <si>
    <t>Myles Davis</t>
  </si>
  <si>
    <t>Nino Williams</t>
  </si>
  <si>
    <t>Ralston Turner</t>
  </si>
  <si>
    <t>Robert Sampson</t>
  </si>
  <si>
    <t>Isaac Haas</t>
  </si>
  <si>
    <t>Konstantinos Mitoglou</t>
  </si>
  <si>
    <t>Tyler Roberson</t>
  </si>
  <si>
    <t>Jalen Reynolds</t>
  </si>
  <si>
    <t>Nnanna Egwu</t>
  </si>
  <si>
    <t>Quinton Stephens</t>
  </si>
  <si>
    <t>Wayne Selden Jr.</t>
  </si>
  <si>
    <t>Jordan Loveridge</t>
  </si>
  <si>
    <t>Jaron Hopkins</t>
  </si>
  <si>
    <t>Rod Hall</t>
  </si>
  <si>
    <t>Mitchell Wilbekin</t>
  </si>
  <si>
    <t>Roquez Johnson</t>
  </si>
  <si>
    <t>Durrell McDonald</t>
  </si>
  <si>
    <t>Dylan Osetkowski</t>
  </si>
  <si>
    <t>Remy Abell</t>
  </si>
  <si>
    <t>Amric Fields</t>
  </si>
  <si>
    <t>Travis Daniels</t>
  </si>
  <si>
    <t>Madison Jones</t>
  </si>
  <si>
    <t>Isaiah Zierden</t>
  </si>
  <si>
    <t>Lester Medford</t>
  </si>
  <si>
    <t>Cliff Alexander</t>
  </si>
  <si>
    <t>Evan Smotrycz</t>
  </si>
  <si>
    <t>Katin Reinhardt</t>
  </si>
  <si>
    <t>Mindaugas Kacinas</t>
  </si>
  <si>
    <t>Will Artino</t>
  </si>
  <si>
    <t>Kendrick Nunn</t>
  </si>
  <si>
    <t>Josh Brown</t>
  </si>
  <si>
    <t>Darion Clark</t>
  </si>
  <si>
    <t>Richaud Pack</t>
  </si>
  <si>
    <t>Jay Hook</t>
  </si>
  <si>
    <t>Chinanu Onuaku</t>
  </si>
  <si>
    <t>Nigel Johnson</t>
  </si>
  <si>
    <t>Lennard Freeman</t>
  </si>
  <si>
    <t>Marcus Stroman</t>
  </si>
  <si>
    <t>Devin Robinson</t>
  </si>
  <si>
    <t>James Farr</t>
  </si>
  <si>
    <t>Wesley Iwundu</t>
  </si>
  <si>
    <t>B.J. Johnson</t>
  </si>
  <si>
    <t>Brandon Parrish</t>
  </si>
  <si>
    <t>Khadeen Carrington</t>
  </si>
  <si>
    <t>Kelly Oubre</t>
  </si>
  <si>
    <t>Trivante Bloodman</t>
  </si>
  <si>
    <t>Jayon Thomas</t>
  </si>
  <si>
    <t>Darion Atkins</t>
  </si>
  <si>
    <t>Jaren Sina</t>
  </si>
  <si>
    <t>Chris Walker</t>
  </si>
  <si>
    <t>Ahmad Starks</t>
  </si>
  <si>
    <t>Aaron Cosby</t>
  </si>
  <si>
    <t>Josh Heath</t>
  </si>
  <si>
    <t>Josh Gasser</t>
  </si>
  <si>
    <t>Justin Edwards</t>
  </si>
  <si>
    <t>Willie Carmichael III</t>
  </si>
  <si>
    <t>Eli Carter</t>
  </si>
  <si>
    <t>Duje Dukan</t>
  </si>
  <si>
    <t>Desi Rodriguez</t>
  </si>
  <si>
    <t>Toby Hegner</t>
  </si>
  <si>
    <t>London Perrantes</t>
  </si>
  <si>
    <t>Tre Drye</t>
  </si>
  <si>
    <t>Chris Reyes</t>
  </si>
  <si>
    <t>Chris Bolden</t>
  </si>
  <si>
    <t>I.J. Ready</t>
  </si>
  <si>
    <t>Forrest Robinson</t>
  </si>
  <si>
    <t>Abu Abdul-Malik</t>
  </si>
  <si>
    <t>Mangok Mathiang</t>
  </si>
  <si>
    <t>Derek Reese</t>
  </si>
  <si>
    <t>Sam Singer</t>
  </si>
  <si>
    <t>Dakarai Tucker</t>
  </si>
  <si>
    <t>Chris Chiozza</t>
  </si>
  <si>
    <t>Marial Shayok</t>
  </si>
  <si>
    <t>Jared Nickens</t>
  </si>
  <si>
    <t>Leron Black</t>
  </si>
  <si>
    <t>Michal Cekovsky</t>
  </si>
  <si>
    <t>Caleb Martin</t>
  </si>
  <si>
    <t>Dion Wiley</t>
  </si>
  <si>
    <t>Obi Enechionyia</t>
  </si>
  <si>
    <t>J.P. Macura</t>
  </si>
  <si>
    <t>Devon Baulkman</t>
  </si>
  <si>
    <t>Cornelius Hudson</t>
  </si>
  <si>
    <t>Brekkott Chapman</t>
  </si>
  <si>
    <t>Elijah Stewart</t>
  </si>
  <si>
    <t>Strahinja Gavrilovic</t>
  </si>
  <si>
    <t>Aaron Rountree</t>
  </si>
  <si>
    <t>Michael Carrera</t>
  </si>
  <si>
    <t>Daniel Dingle</t>
  </si>
  <si>
    <t>DaJuan Coleman</t>
  </si>
  <si>
    <t>Stephen Hurt</t>
  </si>
  <si>
    <t>Darius Leonard</t>
  </si>
  <si>
    <t>Christian Behrens</t>
  </si>
  <si>
    <t>Devin Coleman</t>
  </si>
  <si>
    <t>Jamari Traylor</t>
  </si>
  <si>
    <t>Jacob Kurtz</t>
  </si>
  <si>
    <t>Mark Williams</t>
  </si>
  <si>
    <t>Zach Hanson</t>
  </si>
  <si>
    <t>James Milliken</t>
  </si>
  <si>
    <t>Payton Henson</t>
  </si>
  <si>
    <t>Cameron Reynolds</t>
  </si>
  <si>
    <t>Beejay Anya</t>
  </si>
  <si>
    <t>Justin McKie</t>
  </si>
  <si>
    <t>Demetrius Henry</t>
  </si>
  <si>
    <t>Bronson Koenig</t>
  </si>
  <si>
    <t>Bryson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</si>
</sst>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15" x14ac:knownFonts="1">
    <font>
      <sz val="12"/>
      <color theme="1"/>
      <name val="Calibri"/>
      <family val="2"/>
      <scheme val="minor"/>
    </font>
    <font>
      <sz val="13"/>
      <color rgb="FF5F5F5F"/>
      <name val="Helvetica"/>
    </font>
    <font>
      <sz val="13"/>
      <color rgb="FF3F96CB"/>
      <name val="Helvetica"/>
    </font>
    <font>
      <b/>
      <sz val="13"/>
      <color rgb="FF5F5F5F"/>
      <name val="Helvetica"/>
    </font>
    <font>
      <sz val="8"/>
      <color rgb="FF9B1010"/>
      <name val="Helvetica"/>
    </font>
    <font>
      <sz val="12"/>
      <color rgb="FF5F5F5F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5F5F5F"/>
      <name val="Helvetica"/>
    </font>
    <font>
      <sz val="12"/>
      <color rgb="FF3F96CB"/>
      <name val="Helvetica"/>
    </font>
    <font>
      <b/>
      <sz val="12"/>
      <color rgb="FF5F5F5F"/>
      <name val="Helvetica"/>
    </font>
    <font>
      <sz val="12"/>
      <color rgb="FF9B1010"/>
      <name val="Helvetica"/>
    </font>
    <font>
      <sz val="12"/>
      <name val="Calibri"/>
      <family val="2"/>
      <scheme val="minor"/>
    </font>
    <font>
      <sz val="12"/>
      <name val="Helvetica"/>
    </font>
    <font>
      <sz val="12"/>
      <name val="FanDue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6" fontId="0" fillId="0" borderId="0" xfId="0" applyNumberFormat="1"/>
    <xf numFmtId="6" fontId="1" fillId="0" borderId="0" xfId="0" applyNumberFormat="1" applyFont="1"/>
    <xf numFmtId="0" fontId="0" fillId="0" borderId="0" xfId="0" applyFont="1"/>
    <xf numFmtId="0" fontId="5" fillId="0" borderId="0" xfId="0" applyFont="1"/>
    <xf numFmtId="8" fontId="0" fillId="0" borderId="0" xfId="0" applyNumberFormat="1"/>
    <xf numFmtId="0" fontId="0" fillId="0" borderId="0" xfId="0" applyFill="1"/>
    <xf numFmtId="0" fontId="2" fillId="0" borderId="0" xfId="0" applyFont="1" applyFill="1"/>
    <xf numFmtId="0" fontId="8" fillId="0" borderId="0" xfId="0" applyFont="1"/>
    <xf numFmtId="0" fontId="9" fillId="0" borderId="0" xfId="0" applyFont="1"/>
    <xf numFmtId="6" fontId="8" fillId="0" borderId="0" xfId="0" applyNumberFormat="1" applyFont="1"/>
    <xf numFmtId="0" fontId="10" fillId="0" borderId="0" xfId="0" applyFont="1"/>
    <xf numFmtId="0" fontId="12" fillId="0" borderId="0" xfId="0" applyFont="1"/>
    <xf numFmtId="6" fontId="13" fillId="0" borderId="0" xfId="0" applyNumberFormat="1" applyFont="1"/>
    <xf numFmtId="0" fontId="14" fillId="0" borderId="0" xfId="0" applyFont="1"/>
    <xf numFmtId="8" fontId="12" fillId="0" borderId="0" xfId="0" applyNumberFormat="1" applyFont="1"/>
    <xf numFmtId="6" fontId="12" fillId="0" borderId="0" xfId="0" applyNumberFormat="1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7"/>
  <sheetViews>
    <sheetView tabSelected="1" workbookViewId="0">
      <selection activeCell="E34" sqref="E34"/>
    </sheetView>
  </sheetViews>
  <sheetFormatPr baseColWidth="10" defaultRowHeight="15" x14ac:dyDescent="0"/>
  <cols>
    <col min="1" max="1" width="10.83203125" style="5"/>
    <col min="2" max="2" width="25.33203125" style="8" bestFit="1" customWidth="1"/>
    <col min="5" max="5" width="26" customWidth="1"/>
    <col min="6" max="9" width="10.83203125" style="14"/>
    <col min="10" max="10" width="13" style="14" customWidth="1"/>
    <col min="11" max="12" width="10.83203125" style="14"/>
  </cols>
  <sheetData>
    <row r="1" spans="1:16">
      <c r="A1" s="5" t="s">
        <v>157</v>
      </c>
      <c r="B1" s="8" t="s">
        <v>158</v>
      </c>
      <c r="C1" t="s">
        <v>156</v>
      </c>
      <c r="D1" t="s">
        <v>167</v>
      </c>
      <c r="E1" t="s">
        <v>166</v>
      </c>
      <c r="F1" s="14" t="s">
        <v>159</v>
      </c>
      <c r="G1" s="14" t="s">
        <v>160</v>
      </c>
      <c r="H1" s="14" t="s">
        <v>162</v>
      </c>
      <c r="I1" s="14" t="s">
        <v>163</v>
      </c>
      <c r="J1" s="14" t="s">
        <v>168</v>
      </c>
      <c r="K1" s="14" t="s">
        <v>161</v>
      </c>
      <c r="L1" s="14" t="s">
        <v>156</v>
      </c>
      <c r="M1" t="s">
        <v>164</v>
      </c>
      <c r="N1" t="s">
        <v>165</v>
      </c>
      <c r="O1" t="s">
        <v>155</v>
      </c>
      <c r="P1" t="s">
        <v>156</v>
      </c>
    </row>
    <row r="2" spans="1:16" ht="16">
      <c r="A2" s="10" t="s">
        <v>3</v>
      </c>
      <c r="B2" s="11" t="s">
        <v>411</v>
      </c>
      <c r="C2" s="10">
        <v>34.1</v>
      </c>
      <c r="D2" s="10">
        <v>14</v>
      </c>
      <c r="E2" s="13" t="s">
        <v>412</v>
      </c>
      <c r="F2" s="12">
        <v>8400</v>
      </c>
      <c r="G2" s="16">
        <v>1</v>
      </c>
      <c r="H2" s="14">
        <f>IF(A2="G",1,0)*G2</f>
        <v>0</v>
      </c>
      <c r="I2" s="14">
        <f>IF(A2="F",1,0)*G2</f>
        <v>1</v>
      </c>
      <c r="J2" s="17">
        <f>F2/C2</f>
        <v>246.33431085043986</v>
      </c>
      <c r="K2" s="18">
        <f>F2*G2</f>
        <v>8400</v>
      </c>
      <c r="L2" s="14">
        <f>G2*C2</f>
        <v>34.1</v>
      </c>
      <c r="M2">
        <f>SUM(I2:I140)</f>
        <v>5</v>
      </c>
      <c r="N2">
        <f>SUM(H2:H140)</f>
        <v>4</v>
      </c>
      <c r="O2" s="3">
        <f>SUM(K2:K140)</f>
        <v>60000</v>
      </c>
      <c r="P2">
        <f>SUM(L2:L140)</f>
        <v>235.49999999999997</v>
      </c>
    </row>
    <row r="3" spans="1:16" ht="16">
      <c r="A3" s="10" t="s">
        <v>0</v>
      </c>
      <c r="B3" s="11" t="s">
        <v>498</v>
      </c>
      <c r="C3" s="10">
        <v>24.2</v>
      </c>
      <c r="D3" s="10">
        <v>15</v>
      </c>
      <c r="E3" s="10" t="s">
        <v>416</v>
      </c>
      <c r="F3" s="12">
        <v>6000</v>
      </c>
      <c r="G3" s="16">
        <v>1</v>
      </c>
      <c r="H3" s="14">
        <f>IF(A3="G",1,0)*G3</f>
        <v>1</v>
      </c>
      <c r="I3" s="14">
        <f>IF(A3="F",1,0)*G3</f>
        <v>0</v>
      </c>
      <c r="J3" s="17">
        <f>F3/C3</f>
        <v>247.93388429752068</v>
      </c>
      <c r="K3" s="18">
        <f>F3*G3</f>
        <v>6000</v>
      </c>
      <c r="L3" s="14">
        <f>G3*C3</f>
        <v>24.2</v>
      </c>
    </row>
    <row r="4" spans="1:16" ht="16">
      <c r="A4" s="10" t="s">
        <v>0</v>
      </c>
      <c r="B4" s="11" t="s">
        <v>497</v>
      </c>
      <c r="C4" s="10">
        <v>24.3</v>
      </c>
      <c r="D4" s="10">
        <v>13</v>
      </c>
      <c r="E4" s="13" t="s">
        <v>407</v>
      </c>
      <c r="F4" s="12">
        <v>6100</v>
      </c>
      <c r="G4" s="16">
        <v>1</v>
      </c>
      <c r="H4" s="14">
        <f>IF(A4="G",1,0)*G4</f>
        <v>1</v>
      </c>
      <c r="I4" s="14">
        <f>IF(A4="F",1,0)*G4</f>
        <v>0</v>
      </c>
      <c r="J4" s="17">
        <f>F4/C4</f>
        <v>251.02880658436214</v>
      </c>
      <c r="K4" s="18">
        <f>F4*G4</f>
        <v>6100</v>
      </c>
      <c r="L4" s="14">
        <f>G4*C4</f>
        <v>24.3</v>
      </c>
    </row>
    <row r="5" spans="1:16" ht="16">
      <c r="A5" s="10" t="s">
        <v>0</v>
      </c>
      <c r="B5" s="11" t="s">
        <v>428</v>
      </c>
      <c r="C5" s="10">
        <v>29.7</v>
      </c>
      <c r="D5" s="10">
        <v>14</v>
      </c>
      <c r="E5" s="10" t="s">
        <v>409</v>
      </c>
      <c r="F5" s="12">
        <v>7500</v>
      </c>
      <c r="G5" s="16">
        <v>1</v>
      </c>
      <c r="H5" s="14">
        <f>IF(A5="G",1,0)*G5</f>
        <v>1</v>
      </c>
      <c r="I5" s="14">
        <f>IF(A5="F",1,0)*G5</f>
        <v>0</v>
      </c>
      <c r="J5" s="17">
        <f>F5/C5</f>
        <v>252.52525252525254</v>
      </c>
      <c r="K5" s="18">
        <f>F5*G5</f>
        <v>7500</v>
      </c>
      <c r="L5" s="14">
        <f>G5*C5</f>
        <v>29.7</v>
      </c>
    </row>
    <row r="6" spans="1:16" ht="16">
      <c r="A6" s="10" t="s">
        <v>0</v>
      </c>
      <c r="B6" s="11" t="s">
        <v>404</v>
      </c>
      <c r="C6" s="10">
        <v>36.700000000000003</v>
      </c>
      <c r="D6" s="10">
        <v>15</v>
      </c>
      <c r="E6" s="13" t="s">
        <v>405</v>
      </c>
      <c r="F6" s="12">
        <v>9300</v>
      </c>
      <c r="G6" s="16">
        <v>1</v>
      </c>
      <c r="H6" s="14">
        <f>IF(A6="G",1,0)*G6</f>
        <v>1</v>
      </c>
      <c r="I6" s="14">
        <f>IF(A6="F",1,0)*G6</f>
        <v>0</v>
      </c>
      <c r="J6" s="17">
        <f>F6/C6</f>
        <v>253.40599455040871</v>
      </c>
      <c r="K6" s="18">
        <f>F6*G6</f>
        <v>9300</v>
      </c>
      <c r="L6" s="14">
        <f>G6*C6</f>
        <v>36.700000000000003</v>
      </c>
    </row>
    <row r="7" spans="1:16" ht="16">
      <c r="A7" s="10" t="s">
        <v>3</v>
      </c>
      <c r="B7" s="11" t="s">
        <v>510</v>
      </c>
      <c r="C7" s="10">
        <v>22.5</v>
      </c>
      <c r="D7" s="10">
        <v>14</v>
      </c>
      <c r="E7" s="10" t="s">
        <v>443</v>
      </c>
      <c r="F7" s="12">
        <v>5800</v>
      </c>
      <c r="G7" s="16">
        <v>1</v>
      </c>
      <c r="H7" s="14">
        <f>IF(A7="G",1,0)*G7</f>
        <v>0</v>
      </c>
      <c r="I7" s="14">
        <f>IF(A7="F",1,0)*G7</f>
        <v>1</v>
      </c>
      <c r="J7" s="17">
        <f>F7/C7</f>
        <v>257.77777777777777</v>
      </c>
      <c r="K7" s="18">
        <f>F7*G7</f>
        <v>5800</v>
      </c>
      <c r="L7" s="14">
        <f>G7*C7</f>
        <v>22.5</v>
      </c>
    </row>
    <row r="8" spans="1:16" ht="16">
      <c r="A8" s="10" t="s">
        <v>3</v>
      </c>
      <c r="B8" s="11" t="s">
        <v>515</v>
      </c>
      <c r="C8" s="10">
        <v>21.7</v>
      </c>
      <c r="D8" s="10">
        <v>14</v>
      </c>
      <c r="E8" s="13" t="s">
        <v>440</v>
      </c>
      <c r="F8" s="12">
        <v>5700</v>
      </c>
      <c r="G8" s="16">
        <v>1</v>
      </c>
      <c r="H8" s="14">
        <f>IF(A8="G",1,0)*G8</f>
        <v>0</v>
      </c>
      <c r="I8" s="14">
        <f>IF(A8="F",1,0)*G8</f>
        <v>1</v>
      </c>
      <c r="J8" s="17">
        <f>F8/C8</f>
        <v>262.67281105990781</v>
      </c>
      <c r="K8" s="18">
        <f>F8*G8</f>
        <v>5700</v>
      </c>
      <c r="L8" s="14">
        <f>G8*C8</f>
        <v>21.7</v>
      </c>
    </row>
    <row r="9" spans="1:16" ht="16">
      <c r="A9" s="10" t="s">
        <v>3</v>
      </c>
      <c r="B9" s="11" t="s">
        <v>521</v>
      </c>
      <c r="C9" s="10">
        <v>21.2</v>
      </c>
      <c r="D9" s="10">
        <v>14</v>
      </c>
      <c r="E9" s="13" t="s">
        <v>440</v>
      </c>
      <c r="F9" s="12">
        <v>5600</v>
      </c>
      <c r="G9" s="16">
        <v>1</v>
      </c>
      <c r="H9" s="14">
        <f>IF(A9="G",1,0)*G9</f>
        <v>0</v>
      </c>
      <c r="I9" s="14">
        <f>IF(A9="F",1,0)*G9</f>
        <v>1</v>
      </c>
      <c r="J9" s="17">
        <f>F9/C9</f>
        <v>264.15094339622641</v>
      </c>
      <c r="K9" s="18">
        <f>F9*G9</f>
        <v>5600</v>
      </c>
      <c r="L9" s="14">
        <f>G9*C9</f>
        <v>21.2</v>
      </c>
    </row>
    <row r="10" spans="1:16" ht="16">
      <c r="A10" s="10" t="s">
        <v>3</v>
      </c>
      <c r="B10" s="11" t="s">
        <v>519</v>
      </c>
      <c r="C10" s="10">
        <v>21.1</v>
      </c>
      <c r="D10" s="10">
        <v>13</v>
      </c>
      <c r="E10" s="13" t="s">
        <v>407</v>
      </c>
      <c r="F10" s="12">
        <v>5600</v>
      </c>
      <c r="G10" s="16">
        <v>1</v>
      </c>
      <c r="H10" s="14">
        <f>IF(A10="G",1,0)*G10</f>
        <v>0</v>
      </c>
      <c r="I10" s="14">
        <f>IF(A10="F",1,0)*G10</f>
        <v>1</v>
      </c>
      <c r="J10" s="17">
        <f>F10/C10</f>
        <v>265.40284360189571</v>
      </c>
      <c r="K10" s="18">
        <f>F10*G10</f>
        <v>5600</v>
      </c>
      <c r="L10" s="14">
        <f>G10*C10</f>
        <v>21.1</v>
      </c>
    </row>
    <row r="11" spans="1:16" ht="16">
      <c r="A11" s="10" t="s">
        <v>3</v>
      </c>
      <c r="B11" s="11" t="s">
        <v>406</v>
      </c>
      <c r="C11" s="10">
        <v>34.9</v>
      </c>
      <c r="D11" s="10">
        <v>13</v>
      </c>
      <c r="E11" s="13" t="s">
        <v>407</v>
      </c>
      <c r="F11" s="12">
        <v>9000</v>
      </c>
      <c r="G11" s="16">
        <v>0</v>
      </c>
      <c r="H11" s="14">
        <f>IF(A11="G",1,0)*G11</f>
        <v>0</v>
      </c>
      <c r="I11" s="14">
        <f>IF(A11="F",1,0)*G11</f>
        <v>0</v>
      </c>
      <c r="J11" s="17">
        <f>F11/C11</f>
        <v>257.87965616045847</v>
      </c>
      <c r="K11" s="18">
        <f>F11*G11</f>
        <v>0</v>
      </c>
      <c r="L11" s="14">
        <f>G11*C11</f>
        <v>0</v>
      </c>
    </row>
    <row r="12" spans="1:16" ht="16">
      <c r="A12" s="10" t="s">
        <v>0</v>
      </c>
      <c r="B12" s="11" t="s">
        <v>478</v>
      </c>
      <c r="C12" s="10">
        <v>25.2</v>
      </c>
      <c r="D12" s="10">
        <v>13</v>
      </c>
      <c r="E12" s="10" t="s">
        <v>479</v>
      </c>
      <c r="F12" s="12">
        <v>6500</v>
      </c>
      <c r="G12" s="16">
        <v>0</v>
      </c>
      <c r="H12" s="14">
        <f>IF(A12="G",1,0)*G12</f>
        <v>0</v>
      </c>
      <c r="I12" s="14">
        <f>IF(A12="F",1,0)*G12</f>
        <v>0</v>
      </c>
      <c r="J12" s="17">
        <f>F12/C12</f>
        <v>257.93650793650795</v>
      </c>
      <c r="K12" s="18">
        <f>F12*G12</f>
        <v>0</v>
      </c>
      <c r="L12" s="14">
        <f>G12*C12</f>
        <v>0</v>
      </c>
    </row>
    <row r="13" spans="1:16" ht="16">
      <c r="A13" s="10" t="s">
        <v>0</v>
      </c>
      <c r="B13" s="11" t="s">
        <v>426</v>
      </c>
      <c r="C13" s="10">
        <v>28.5</v>
      </c>
      <c r="D13" s="10">
        <v>14</v>
      </c>
      <c r="E13" s="13" t="s">
        <v>427</v>
      </c>
      <c r="F13" s="12">
        <v>7500</v>
      </c>
      <c r="G13" s="16">
        <v>0</v>
      </c>
      <c r="H13" s="14">
        <f>IF(A13="G",1,0)*G13</f>
        <v>0</v>
      </c>
      <c r="I13" s="14">
        <f>IF(A13="F",1,0)*G13</f>
        <v>0</v>
      </c>
      <c r="J13" s="17">
        <f>F13/C13</f>
        <v>263.15789473684208</v>
      </c>
      <c r="K13" s="18">
        <f>F13*G13</f>
        <v>0</v>
      </c>
      <c r="L13" s="14">
        <f>G13*C13</f>
        <v>0</v>
      </c>
    </row>
    <row r="14" spans="1:16" ht="16">
      <c r="A14" s="10" t="s">
        <v>0</v>
      </c>
      <c r="B14" s="11" t="s">
        <v>466</v>
      </c>
      <c r="C14" s="10">
        <v>25.7</v>
      </c>
      <c r="D14" s="10">
        <v>14</v>
      </c>
      <c r="E14" s="10" t="s">
        <v>409</v>
      </c>
      <c r="F14" s="12">
        <v>6800</v>
      </c>
      <c r="G14" s="16">
        <v>0</v>
      </c>
      <c r="H14" s="14">
        <f>IF(A14="G",1,0)*G14</f>
        <v>0</v>
      </c>
      <c r="I14" s="14">
        <f>IF(A14="F",1,0)*G14</f>
        <v>0</v>
      </c>
      <c r="J14" s="17">
        <f>F14/C14</f>
        <v>264.59143968871598</v>
      </c>
      <c r="K14" s="18">
        <f>F14*G14</f>
        <v>0</v>
      </c>
      <c r="L14" s="14">
        <f>G14*C14</f>
        <v>0</v>
      </c>
    </row>
    <row r="15" spans="1:16" ht="16">
      <c r="A15" s="10" t="s">
        <v>3</v>
      </c>
      <c r="B15" s="11" t="s">
        <v>490</v>
      </c>
      <c r="C15" s="10">
        <v>23</v>
      </c>
      <c r="D15" s="10">
        <v>14</v>
      </c>
      <c r="E15" s="10" t="s">
        <v>479</v>
      </c>
      <c r="F15" s="12">
        <v>6100</v>
      </c>
      <c r="G15" s="16">
        <v>0</v>
      </c>
      <c r="H15" s="14">
        <f>IF(A15="G",1,0)*G15</f>
        <v>0</v>
      </c>
      <c r="I15" s="14">
        <f>IF(A15="F",1,0)*G15</f>
        <v>0</v>
      </c>
      <c r="J15" s="17">
        <f>F15/C15</f>
        <v>265.21739130434781</v>
      </c>
      <c r="K15" s="18">
        <f>F15*G15</f>
        <v>0</v>
      </c>
      <c r="L15" s="14">
        <f>G15*C15</f>
        <v>0</v>
      </c>
    </row>
    <row r="16" spans="1:16" ht="16">
      <c r="A16" s="10" t="s">
        <v>3</v>
      </c>
      <c r="B16" s="11" t="s">
        <v>400</v>
      </c>
      <c r="C16" s="10">
        <v>35.200000000000003</v>
      </c>
      <c r="D16" s="10">
        <v>15</v>
      </c>
      <c r="E16" s="10" t="s">
        <v>401</v>
      </c>
      <c r="F16" s="12">
        <v>9400</v>
      </c>
      <c r="G16" s="16">
        <v>0</v>
      </c>
      <c r="H16" s="14">
        <f>IF(A16="G",1,0)*G16</f>
        <v>0</v>
      </c>
      <c r="I16" s="14">
        <f>IF(A16="F",1,0)*G16</f>
        <v>0</v>
      </c>
      <c r="J16" s="17">
        <f>F16/C16</f>
        <v>267.0454545454545</v>
      </c>
      <c r="K16" s="18">
        <f>F16*G16</f>
        <v>0</v>
      </c>
      <c r="L16" s="14">
        <f>G16*C16</f>
        <v>0</v>
      </c>
    </row>
    <row r="17" spans="1:12" ht="16">
      <c r="A17" s="10" t="s">
        <v>0</v>
      </c>
      <c r="B17" s="11" t="s">
        <v>504</v>
      </c>
      <c r="C17" s="10">
        <v>22</v>
      </c>
      <c r="D17" s="10">
        <v>14</v>
      </c>
      <c r="E17" s="13" t="s">
        <v>412</v>
      </c>
      <c r="F17" s="12">
        <v>5900</v>
      </c>
      <c r="G17" s="16">
        <v>0</v>
      </c>
      <c r="H17" s="14">
        <f>IF(A17="G",1,0)*G17</f>
        <v>0</v>
      </c>
      <c r="I17" s="14">
        <f>IF(A17="F",1,0)*G17</f>
        <v>0</v>
      </c>
      <c r="J17" s="17">
        <f>F17/C17</f>
        <v>268.18181818181819</v>
      </c>
      <c r="K17" s="18">
        <f>F17*G17</f>
        <v>0</v>
      </c>
      <c r="L17" s="14">
        <f>G17*C17</f>
        <v>0</v>
      </c>
    </row>
    <row r="18" spans="1:12" ht="16">
      <c r="A18" s="10" t="s">
        <v>3</v>
      </c>
      <c r="B18" s="11" t="s">
        <v>408</v>
      </c>
      <c r="C18" s="10">
        <v>31.9</v>
      </c>
      <c r="D18" s="10">
        <v>13</v>
      </c>
      <c r="E18" s="10" t="s">
        <v>409</v>
      </c>
      <c r="F18" s="12">
        <v>8600</v>
      </c>
      <c r="G18" s="16">
        <v>0</v>
      </c>
      <c r="H18" s="14">
        <f>IF(A18="G",1,0)*G18</f>
        <v>0</v>
      </c>
      <c r="I18" s="14">
        <f>IF(A18="F",1,0)*G18</f>
        <v>0</v>
      </c>
      <c r="J18" s="17">
        <f>F18/C18</f>
        <v>269.59247648902823</v>
      </c>
      <c r="K18" s="18">
        <f>F18*G18</f>
        <v>0</v>
      </c>
      <c r="L18" s="14">
        <f>G18*C18</f>
        <v>0</v>
      </c>
    </row>
    <row r="19" spans="1:12" ht="16">
      <c r="A19" s="10" t="s">
        <v>3</v>
      </c>
      <c r="B19" s="11" t="s">
        <v>506</v>
      </c>
      <c r="C19" s="10">
        <v>21.5</v>
      </c>
      <c r="D19" s="10">
        <v>13</v>
      </c>
      <c r="E19" s="13" t="s">
        <v>450</v>
      </c>
      <c r="F19" s="12">
        <v>5800</v>
      </c>
      <c r="G19" s="16">
        <v>0</v>
      </c>
      <c r="H19" s="14">
        <f>IF(A19="G",1,0)*G19</f>
        <v>0</v>
      </c>
      <c r="I19" s="14">
        <f>IF(A19="F",1,0)*G19</f>
        <v>0</v>
      </c>
      <c r="J19" s="17">
        <f>F19/C19</f>
        <v>269.76744186046511</v>
      </c>
      <c r="K19" s="18">
        <f>F19*G19</f>
        <v>0</v>
      </c>
      <c r="L19" s="14">
        <f>G19*C19</f>
        <v>0</v>
      </c>
    </row>
    <row r="20" spans="1:12" ht="16">
      <c r="A20" s="10" t="s">
        <v>3</v>
      </c>
      <c r="B20" s="11" t="s">
        <v>529</v>
      </c>
      <c r="C20" s="10">
        <v>20</v>
      </c>
      <c r="D20" s="10">
        <v>12</v>
      </c>
      <c r="E20" s="10" t="s">
        <v>433</v>
      </c>
      <c r="F20" s="12">
        <v>5400</v>
      </c>
      <c r="G20" s="16">
        <v>0</v>
      </c>
      <c r="H20" s="14">
        <f>IF(A20="G",1,0)*G20</f>
        <v>0</v>
      </c>
      <c r="I20" s="14">
        <f>IF(A20="F",1,0)*G20</f>
        <v>0</v>
      </c>
      <c r="J20" s="17">
        <f>F20/C20</f>
        <v>270</v>
      </c>
      <c r="K20" s="18">
        <f>F20*G20</f>
        <v>0</v>
      </c>
      <c r="L20" s="14">
        <f>G20*C20</f>
        <v>0</v>
      </c>
    </row>
    <row r="21" spans="1:12" ht="16">
      <c r="A21" s="10" t="s">
        <v>0</v>
      </c>
      <c r="B21" s="11" t="s">
        <v>402</v>
      </c>
      <c r="C21" s="10">
        <v>34.200000000000003</v>
      </c>
      <c r="D21" s="10">
        <v>14</v>
      </c>
      <c r="E21" s="10" t="s">
        <v>403</v>
      </c>
      <c r="F21" s="12">
        <v>9300</v>
      </c>
      <c r="G21" s="16">
        <v>0</v>
      </c>
      <c r="H21" s="14">
        <f>IF(A21="G",1,0)*G21</f>
        <v>0</v>
      </c>
      <c r="I21" s="14">
        <f>IF(A21="F",1,0)*G21</f>
        <v>0</v>
      </c>
      <c r="J21" s="17">
        <f>F21/C21</f>
        <v>271.92982456140351</v>
      </c>
      <c r="K21" s="18">
        <f>F21*G21</f>
        <v>0</v>
      </c>
      <c r="L21" s="14">
        <f>G21*C21</f>
        <v>0</v>
      </c>
    </row>
    <row r="22" spans="1:12" ht="16">
      <c r="A22" s="10" t="s">
        <v>3</v>
      </c>
      <c r="B22" s="11" t="s">
        <v>577</v>
      </c>
      <c r="C22" s="10">
        <v>18</v>
      </c>
      <c r="D22" s="10">
        <v>12</v>
      </c>
      <c r="E22" s="10" t="s">
        <v>437</v>
      </c>
      <c r="F22" s="12">
        <v>4900</v>
      </c>
      <c r="G22" s="16">
        <v>0</v>
      </c>
      <c r="H22" s="14">
        <f>IF(A22="G",1,0)*G22</f>
        <v>0</v>
      </c>
      <c r="I22" s="14">
        <f>IF(A22="F",1,0)*G22</f>
        <v>0</v>
      </c>
      <c r="J22" s="17">
        <f>F22/C22</f>
        <v>272.22222222222223</v>
      </c>
      <c r="K22" s="18">
        <f>F22*G22</f>
        <v>0</v>
      </c>
      <c r="L22" s="14">
        <f>G22*C22</f>
        <v>0</v>
      </c>
    </row>
    <row r="23" spans="1:12" ht="16">
      <c r="A23" s="10" t="s">
        <v>3</v>
      </c>
      <c r="B23" s="11" t="s">
        <v>471</v>
      </c>
      <c r="C23" s="10">
        <v>24.2</v>
      </c>
      <c r="D23" s="10">
        <v>13</v>
      </c>
      <c r="E23" s="13" t="s">
        <v>435</v>
      </c>
      <c r="F23" s="12">
        <v>6600</v>
      </c>
      <c r="G23" s="16">
        <v>0</v>
      </c>
      <c r="H23" s="14">
        <f>IF(A23="G",1,0)*G23</f>
        <v>0</v>
      </c>
      <c r="I23" s="14">
        <f>IF(A23="F",1,0)*G23</f>
        <v>0</v>
      </c>
      <c r="J23" s="17">
        <f>F23/C23</f>
        <v>272.72727272727275</v>
      </c>
      <c r="K23" s="18">
        <f>F23*G23</f>
        <v>0</v>
      </c>
      <c r="L23" s="14">
        <f>G23*C23</f>
        <v>0</v>
      </c>
    </row>
    <row r="24" spans="1:12" ht="16">
      <c r="A24" s="10" t="s">
        <v>3</v>
      </c>
      <c r="B24" s="11" t="s">
        <v>545</v>
      </c>
      <c r="C24" s="10">
        <v>19</v>
      </c>
      <c r="D24" s="10">
        <v>13</v>
      </c>
      <c r="E24" s="10" t="s">
        <v>453</v>
      </c>
      <c r="F24" s="12">
        <v>5200</v>
      </c>
      <c r="G24" s="16">
        <v>0</v>
      </c>
      <c r="H24" s="14">
        <f>IF(A24="G",1,0)*G24</f>
        <v>0</v>
      </c>
      <c r="I24" s="14">
        <f>IF(A24="F",1,0)*G24</f>
        <v>0</v>
      </c>
      <c r="J24" s="17">
        <f>F24/C24</f>
        <v>273.68421052631578</v>
      </c>
      <c r="K24" s="18">
        <f>F24*G24</f>
        <v>0</v>
      </c>
      <c r="L24" s="14">
        <f>G24*C24</f>
        <v>0</v>
      </c>
    </row>
    <row r="25" spans="1:12" ht="16">
      <c r="A25" s="10" t="s">
        <v>3</v>
      </c>
      <c r="B25" s="11" t="s">
        <v>429</v>
      </c>
      <c r="C25" s="10">
        <v>26.8</v>
      </c>
      <c r="D25" s="10">
        <v>13</v>
      </c>
      <c r="E25" s="10" t="s">
        <v>430</v>
      </c>
      <c r="F25" s="12">
        <v>7400</v>
      </c>
      <c r="G25" s="16">
        <v>0</v>
      </c>
      <c r="H25" s="14">
        <f>IF(A25="G",1,0)*G25</f>
        <v>0</v>
      </c>
      <c r="I25" s="14">
        <f>IF(A25="F",1,0)*G25</f>
        <v>0</v>
      </c>
      <c r="J25" s="17">
        <f>F25/C25</f>
        <v>276.1194029850746</v>
      </c>
      <c r="K25" s="18">
        <f>F25*G25</f>
        <v>0</v>
      </c>
      <c r="L25" s="14">
        <f>G25*C25</f>
        <v>0</v>
      </c>
    </row>
    <row r="26" spans="1:12" ht="16">
      <c r="A26" s="10" t="s">
        <v>3</v>
      </c>
      <c r="B26" s="11" t="s">
        <v>468</v>
      </c>
      <c r="C26" s="10">
        <v>24.6</v>
      </c>
      <c r="D26" s="10">
        <v>14</v>
      </c>
      <c r="E26" s="13" t="s">
        <v>455</v>
      </c>
      <c r="F26" s="12">
        <v>6800</v>
      </c>
      <c r="G26" s="16">
        <v>0</v>
      </c>
      <c r="H26" s="14">
        <f>IF(A26="G",1,0)*G26</f>
        <v>0</v>
      </c>
      <c r="I26" s="14">
        <f>IF(A26="F",1,0)*G26</f>
        <v>0</v>
      </c>
      <c r="J26" s="17">
        <f>F26/C26</f>
        <v>276.42276422764223</v>
      </c>
      <c r="K26" s="18">
        <f>F26*G26</f>
        <v>0</v>
      </c>
      <c r="L26" s="14">
        <f>G26*C26</f>
        <v>0</v>
      </c>
    </row>
    <row r="27" spans="1:12" ht="16">
      <c r="A27" s="10" t="s">
        <v>3</v>
      </c>
      <c r="B27" s="11" t="s">
        <v>524</v>
      </c>
      <c r="C27" s="10">
        <v>20.2</v>
      </c>
      <c r="D27" s="10">
        <v>13</v>
      </c>
      <c r="E27" s="10" t="s">
        <v>430</v>
      </c>
      <c r="F27" s="12">
        <v>5600</v>
      </c>
      <c r="G27" s="16">
        <v>0</v>
      </c>
      <c r="H27" s="14">
        <f>IF(A27="G",1,0)*G27</f>
        <v>0</v>
      </c>
      <c r="I27" s="14">
        <f>IF(A27="F",1,0)*G27</f>
        <v>0</v>
      </c>
      <c r="J27" s="17">
        <f>F27/C27</f>
        <v>277.22772277227722</v>
      </c>
      <c r="K27" s="18">
        <f>F27*G27</f>
        <v>0</v>
      </c>
      <c r="L27" s="14">
        <f>G27*C27</f>
        <v>0</v>
      </c>
    </row>
    <row r="28" spans="1:12" ht="16">
      <c r="A28" s="10" t="s">
        <v>0</v>
      </c>
      <c r="B28" s="11" t="s">
        <v>499</v>
      </c>
      <c r="C28" s="10">
        <v>21.6</v>
      </c>
      <c r="D28" s="10">
        <v>15</v>
      </c>
      <c r="E28" s="10" t="s">
        <v>410</v>
      </c>
      <c r="F28" s="12">
        <v>6000</v>
      </c>
      <c r="G28" s="16">
        <v>0</v>
      </c>
      <c r="H28" s="14">
        <f>IF(A28="G",1,0)*G28</f>
        <v>0</v>
      </c>
      <c r="I28" s="14">
        <f>IF(A28="F",1,0)*G28</f>
        <v>0</v>
      </c>
      <c r="J28" s="17">
        <f>F28/C28</f>
        <v>277.77777777777777</v>
      </c>
      <c r="K28" s="18">
        <f>F28*G28</f>
        <v>0</v>
      </c>
      <c r="L28" s="14">
        <f>G28*C28</f>
        <v>0</v>
      </c>
    </row>
    <row r="29" spans="1:12" ht="16">
      <c r="A29" s="10" t="s">
        <v>0</v>
      </c>
      <c r="B29" s="11" t="s">
        <v>553</v>
      </c>
      <c r="C29" s="10">
        <v>18.7</v>
      </c>
      <c r="D29" s="10">
        <v>13</v>
      </c>
      <c r="E29" s="10" t="s">
        <v>430</v>
      </c>
      <c r="F29" s="12">
        <v>5200</v>
      </c>
      <c r="G29" s="16">
        <v>0</v>
      </c>
      <c r="H29" s="14">
        <f>IF(A29="G",1,0)*G29</f>
        <v>0</v>
      </c>
      <c r="I29" s="14">
        <f>IF(A29="F",1,0)*G29</f>
        <v>0</v>
      </c>
      <c r="J29" s="17">
        <f>F29/C29</f>
        <v>278.07486631016042</v>
      </c>
      <c r="K29" s="18">
        <f>F29*G29</f>
        <v>0</v>
      </c>
      <c r="L29" s="14">
        <f>G29*C29</f>
        <v>0</v>
      </c>
    </row>
    <row r="30" spans="1:12" ht="16">
      <c r="A30" s="10" t="s">
        <v>3</v>
      </c>
      <c r="B30" s="11" t="s">
        <v>425</v>
      </c>
      <c r="C30" s="10">
        <v>26.9</v>
      </c>
      <c r="D30" s="10">
        <v>14</v>
      </c>
      <c r="E30" s="13" t="s">
        <v>412</v>
      </c>
      <c r="F30" s="12">
        <v>7500</v>
      </c>
      <c r="G30" s="16">
        <v>0</v>
      </c>
      <c r="H30" s="14">
        <f>IF(A30="G",1,0)*G30</f>
        <v>0</v>
      </c>
      <c r="I30" s="14">
        <f>IF(A30="F",1,0)*G30</f>
        <v>0</v>
      </c>
      <c r="J30" s="17">
        <f>F30/C30</f>
        <v>278.81040892193312</v>
      </c>
      <c r="K30" s="18">
        <f>F30*G30</f>
        <v>0</v>
      </c>
      <c r="L30" s="14">
        <f>G30*C30</f>
        <v>0</v>
      </c>
    </row>
    <row r="31" spans="1:12" ht="16">
      <c r="A31" s="10" t="s">
        <v>0</v>
      </c>
      <c r="B31" s="11" t="s">
        <v>563</v>
      </c>
      <c r="C31" s="10">
        <v>17.899999999999999</v>
      </c>
      <c r="D31" s="10">
        <v>14</v>
      </c>
      <c r="E31" s="10" t="s">
        <v>462</v>
      </c>
      <c r="F31" s="12">
        <v>5000</v>
      </c>
      <c r="G31" s="16">
        <v>0</v>
      </c>
      <c r="H31" s="14">
        <f>IF(A31="G",1,0)*G31</f>
        <v>0</v>
      </c>
      <c r="I31" s="14">
        <f>IF(A31="F",1,0)*G31</f>
        <v>0</v>
      </c>
      <c r="J31" s="17">
        <f>F31/C31</f>
        <v>279.32960893854749</v>
      </c>
      <c r="K31" s="18">
        <f>F31*G31</f>
        <v>0</v>
      </c>
      <c r="L31" s="14">
        <f>G31*C31</f>
        <v>0</v>
      </c>
    </row>
    <row r="32" spans="1:12" ht="16">
      <c r="A32" s="10" t="s">
        <v>3</v>
      </c>
      <c r="B32" s="11" t="s">
        <v>484</v>
      </c>
      <c r="C32" s="10">
        <v>22.9</v>
      </c>
      <c r="D32" s="10">
        <v>13</v>
      </c>
      <c r="E32" s="13" t="s">
        <v>407</v>
      </c>
      <c r="F32" s="12">
        <v>6400</v>
      </c>
      <c r="G32" s="16">
        <v>0</v>
      </c>
      <c r="H32" s="14">
        <f>IF(A32="G",1,0)*G32</f>
        <v>0</v>
      </c>
      <c r="I32" s="14">
        <f>IF(A32="F",1,0)*G32</f>
        <v>0</v>
      </c>
      <c r="J32" s="17">
        <f>F32/C32</f>
        <v>279.47598253275112</v>
      </c>
      <c r="K32" s="18">
        <f>F32*G32</f>
        <v>0</v>
      </c>
      <c r="L32" s="14">
        <f>G32*C32</f>
        <v>0</v>
      </c>
    </row>
    <row r="33" spans="1:12" ht="16">
      <c r="A33" s="10" t="s">
        <v>0</v>
      </c>
      <c r="B33" s="11" t="s">
        <v>474</v>
      </c>
      <c r="C33" s="10">
        <v>23.2</v>
      </c>
      <c r="D33" s="10">
        <v>13</v>
      </c>
      <c r="E33" s="10" t="s">
        <v>475</v>
      </c>
      <c r="F33" s="12">
        <v>6500</v>
      </c>
      <c r="G33" s="16">
        <v>0</v>
      </c>
      <c r="H33" s="14">
        <f>IF(A33="G",1,0)*G33</f>
        <v>0</v>
      </c>
      <c r="I33" s="14">
        <f>IF(A33="F",1,0)*G33</f>
        <v>0</v>
      </c>
      <c r="J33" s="17">
        <f>F33/C33</f>
        <v>280.17241379310343</v>
      </c>
      <c r="K33" s="18">
        <f>F33*G33</f>
        <v>0</v>
      </c>
      <c r="L33" s="14">
        <f>G33*C33</f>
        <v>0</v>
      </c>
    </row>
    <row r="34" spans="1:12" ht="16">
      <c r="A34" s="10" t="s">
        <v>0</v>
      </c>
      <c r="B34" s="11" t="s">
        <v>413</v>
      </c>
      <c r="C34" s="10">
        <v>29.6</v>
      </c>
      <c r="D34" s="10">
        <v>12</v>
      </c>
      <c r="E34" s="13" t="s">
        <v>414</v>
      </c>
      <c r="F34" s="12">
        <v>8300</v>
      </c>
      <c r="G34" s="16">
        <v>0</v>
      </c>
      <c r="H34" s="14">
        <f>IF(A34="G",1,0)*G34</f>
        <v>0</v>
      </c>
      <c r="I34" s="14">
        <f>IF(A34="F",1,0)*G34</f>
        <v>0</v>
      </c>
      <c r="J34" s="17">
        <f>F34/C34</f>
        <v>280.40540540540542</v>
      </c>
      <c r="K34" s="18">
        <f>F34*G34</f>
        <v>0</v>
      </c>
      <c r="L34" s="14">
        <f>G34*C34</f>
        <v>0</v>
      </c>
    </row>
    <row r="35" spans="1:12" ht="16">
      <c r="A35" s="10" t="s">
        <v>0</v>
      </c>
      <c r="B35" s="11" t="s">
        <v>505</v>
      </c>
      <c r="C35" s="10">
        <v>21</v>
      </c>
      <c r="D35" s="10">
        <v>14</v>
      </c>
      <c r="E35" s="10" t="s">
        <v>443</v>
      </c>
      <c r="F35" s="12">
        <v>5900</v>
      </c>
      <c r="G35" s="16">
        <v>0</v>
      </c>
      <c r="H35" s="14">
        <f>IF(A35="G",1,0)*G35</f>
        <v>0</v>
      </c>
      <c r="I35" s="14">
        <f>IF(A35="F",1,0)*G35</f>
        <v>0</v>
      </c>
      <c r="J35" s="17">
        <f>F35/C35</f>
        <v>280.95238095238096</v>
      </c>
      <c r="K35" s="18">
        <f>F35*G35</f>
        <v>0</v>
      </c>
      <c r="L35" s="14">
        <f>G35*C35</f>
        <v>0</v>
      </c>
    </row>
    <row r="36" spans="1:12" ht="16">
      <c r="A36" s="10" t="s">
        <v>3</v>
      </c>
      <c r="B36" s="11" t="s">
        <v>449</v>
      </c>
      <c r="C36" s="10">
        <v>25.6</v>
      </c>
      <c r="D36" s="10">
        <v>13</v>
      </c>
      <c r="E36" s="13" t="s">
        <v>450</v>
      </c>
      <c r="F36" s="12">
        <v>7200</v>
      </c>
      <c r="G36" s="16">
        <v>0</v>
      </c>
      <c r="H36" s="14">
        <f>IF(A36="G",1,0)*G36</f>
        <v>0</v>
      </c>
      <c r="I36" s="14">
        <f>IF(A36="F",1,0)*G36</f>
        <v>0</v>
      </c>
      <c r="J36" s="17">
        <f>F36/C36</f>
        <v>281.25</v>
      </c>
      <c r="K36" s="18">
        <f>F36*G36</f>
        <v>0</v>
      </c>
      <c r="L36" s="14">
        <f>G36*C36</f>
        <v>0</v>
      </c>
    </row>
    <row r="37" spans="1:12" ht="16">
      <c r="A37" s="10" t="s">
        <v>3</v>
      </c>
      <c r="B37" s="11" t="s">
        <v>470</v>
      </c>
      <c r="C37" s="10">
        <v>23.7</v>
      </c>
      <c r="D37" s="10">
        <v>13</v>
      </c>
      <c r="E37" s="10" t="s">
        <v>430</v>
      </c>
      <c r="F37" s="12">
        <v>6700</v>
      </c>
      <c r="G37" s="16">
        <v>0</v>
      </c>
      <c r="H37" s="14">
        <f>IF(A37="G",1,0)*G37</f>
        <v>0</v>
      </c>
      <c r="I37" s="14">
        <f>IF(A37="F",1,0)*G37</f>
        <v>0</v>
      </c>
      <c r="J37" s="17">
        <f>F37/C37</f>
        <v>282.70042194092827</v>
      </c>
      <c r="K37" s="18">
        <f>F37*G37</f>
        <v>0</v>
      </c>
      <c r="L37" s="14">
        <f>G37*C37</f>
        <v>0</v>
      </c>
    </row>
    <row r="38" spans="1:12" ht="16">
      <c r="A38" s="10" t="s">
        <v>0</v>
      </c>
      <c r="B38" s="11" t="s">
        <v>482</v>
      </c>
      <c r="C38" s="10">
        <v>22.6</v>
      </c>
      <c r="D38" s="10">
        <v>12</v>
      </c>
      <c r="E38" s="10" t="s">
        <v>433</v>
      </c>
      <c r="F38" s="12">
        <v>6400</v>
      </c>
      <c r="G38" s="16">
        <v>0</v>
      </c>
      <c r="H38" s="14">
        <f>IF(A38="G",1,0)*G38</f>
        <v>0</v>
      </c>
      <c r="I38" s="14">
        <f>IF(A38="F",1,0)*G38</f>
        <v>0</v>
      </c>
      <c r="J38" s="17">
        <f>F38/C38</f>
        <v>283.18584070796459</v>
      </c>
      <c r="K38" s="18">
        <f>F38*G38</f>
        <v>0</v>
      </c>
      <c r="L38" s="14">
        <f>G38*C38</f>
        <v>0</v>
      </c>
    </row>
    <row r="39" spans="1:12" ht="16">
      <c r="A39" s="10" t="s">
        <v>0</v>
      </c>
      <c r="B39" s="11" t="s">
        <v>496</v>
      </c>
      <c r="C39" s="10">
        <v>21.4</v>
      </c>
      <c r="D39" s="10">
        <v>15</v>
      </c>
      <c r="E39" s="13" t="s">
        <v>455</v>
      </c>
      <c r="F39" s="12">
        <v>6100</v>
      </c>
      <c r="G39" s="16">
        <v>0</v>
      </c>
      <c r="H39" s="14">
        <f>IF(A39="G",1,0)*G39</f>
        <v>0</v>
      </c>
      <c r="I39" s="14">
        <f>IF(A39="F",1,0)*G39</f>
        <v>0</v>
      </c>
      <c r="J39" s="17">
        <f>F39/C39</f>
        <v>285.04672897196264</v>
      </c>
      <c r="K39" s="18">
        <f>F39*G39</f>
        <v>0</v>
      </c>
      <c r="L39" s="14">
        <f>G39*C39</f>
        <v>0</v>
      </c>
    </row>
    <row r="40" spans="1:12" ht="16">
      <c r="A40" s="10" t="s">
        <v>3</v>
      </c>
      <c r="B40" s="11" t="s">
        <v>442</v>
      </c>
      <c r="C40" s="10">
        <v>25.6</v>
      </c>
      <c r="D40" s="10">
        <v>14</v>
      </c>
      <c r="E40" s="10" t="s">
        <v>443</v>
      </c>
      <c r="F40" s="12">
        <v>7300</v>
      </c>
      <c r="G40" s="16">
        <v>0</v>
      </c>
      <c r="H40" s="14">
        <f>IF(A40="G",1,0)*G40</f>
        <v>0</v>
      </c>
      <c r="I40" s="14">
        <f>IF(A40="F",1,0)*G40</f>
        <v>0</v>
      </c>
      <c r="J40" s="17">
        <f>F40/C40</f>
        <v>285.15625</v>
      </c>
      <c r="K40" s="18">
        <f>F40*G40</f>
        <v>0</v>
      </c>
      <c r="L40" s="14">
        <f>G40*C40</f>
        <v>0</v>
      </c>
    </row>
    <row r="41" spans="1:12" ht="16">
      <c r="A41" s="10" t="s">
        <v>0</v>
      </c>
      <c r="B41" s="11" t="s">
        <v>417</v>
      </c>
      <c r="C41" s="10">
        <v>28</v>
      </c>
      <c r="D41" s="10">
        <v>15</v>
      </c>
      <c r="E41" s="13" t="s">
        <v>418</v>
      </c>
      <c r="F41" s="12">
        <v>8000</v>
      </c>
      <c r="G41" s="16">
        <v>0</v>
      </c>
      <c r="H41" s="14">
        <f>IF(A41="G",1,0)*G41</f>
        <v>0</v>
      </c>
      <c r="I41" s="14">
        <f>IF(A41="F",1,0)*G41</f>
        <v>0</v>
      </c>
      <c r="J41" s="17">
        <f>F41/C41</f>
        <v>285.71428571428572</v>
      </c>
      <c r="K41" s="18">
        <f>F41*G41</f>
        <v>0</v>
      </c>
      <c r="L41" s="14">
        <f>G41*C41</f>
        <v>0</v>
      </c>
    </row>
    <row r="42" spans="1:12" ht="16">
      <c r="A42" s="10" t="s">
        <v>0</v>
      </c>
      <c r="B42" s="11" t="s">
        <v>487</v>
      </c>
      <c r="C42" s="10">
        <v>21.7</v>
      </c>
      <c r="D42" s="10">
        <v>13</v>
      </c>
      <c r="E42" s="10" t="s">
        <v>437</v>
      </c>
      <c r="F42" s="12">
        <v>6200</v>
      </c>
      <c r="G42" s="16">
        <v>0</v>
      </c>
      <c r="H42" s="14">
        <f>IF(A42="G",1,0)*G42</f>
        <v>0</v>
      </c>
      <c r="I42" s="14">
        <f>IF(A42="F",1,0)*G42</f>
        <v>0</v>
      </c>
      <c r="J42" s="17">
        <f>F42/C42</f>
        <v>285.71428571428572</v>
      </c>
      <c r="K42" s="18">
        <f>F42*G42</f>
        <v>0</v>
      </c>
      <c r="L42" s="14">
        <f>G42*C42</f>
        <v>0</v>
      </c>
    </row>
    <row r="43" spans="1:12" ht="16">
      <c r="A43" s="10" t="s">
        <v>0</v>
      </c>
      <c r="B43" s="11" t="s">
        <v>419</v>
      </c>
      <c r="C43" s="10">
        <v>26.9</v>
      </c>
      <c r="D43" s="10">
        <v>8</v>
      </c>
      <c r="E43" s="13" t="s">
        <v>420</v>
      </c>
      <c r="F43" s="12">
        <v>7700</v>
      </c>
      <c r="G43" s="16">
        <v>0</v>
      </c>
      <c r="H43" s="14">
        <f>IF(A43="G",1,0)*G43</f>
        <v>0</v>
      </c>
      <c r="I43" s="14">
        <f>IF(A43="F",1,0)*G43</f>
        <v>0</v>
      </c>
      <c r="J43" s="17">
        <f>F43/C43</f>
        <v>286.24535315985133</v>
      </c>
      <c r="K43" s="18">
        <f>F43*G43</f>
        <v>0</v>
      </c>
      <c r="L43" s="14">
        <f>G43*C43</f>
        <v>0</v>
      </c>
    </row>
    <row r="44" spans="1:12" ht="16">
      <c r="A44" s="10" t="s">
        <v>3</v>
      </c>
      <c r="B44" s="11" t="s">
        <v>481</v>
      </c>
      <c r="C44" s="10">
        <v>22.3</v>
      </c>
      <c r="D44" s="10">
        <v>13</v>
      </c>
      <c r="E44" s="13" t="s">
        <v>418</v>
      </c>
      <c r="F44" s="12">
        <v>6400</v>
      </c>
      <c r="G44" s="16">
        <v>0</v>
      </c>
      <c r="H44" s="14">
        <f>IF(A44="G",1,0)*G44</f>
        <v>0</v>
      </c>
      <c r="I44" s="14">
        <f>IF(A44="F",1,0)*G44</f>
        <v>0</v>
      </c>
      <c r="J44" s="17">
        <f>F44/C44</f>
        <v>286.99551569506724</v>
      </c>
      <c r="K44" s="18">
        <f>F44*G44</f>
        <v>0</v>
      </c>
      <c r="L44" s="14">
        <f>G44*C44</f>
        <v>0</v>
      </c>
    </row>
    <row r="45" spans="1:12" ht="16">
      <c r="A45" s="10" t="s">
        <v>0</v>
      </c>
      <c r="B45" s="11" t="s">
        <v>528</v>
      </c>
      <c r="C45" s="10">
        <v>19.100000000000001</v>
      </c>
      <c r="D45" s="10">
        <v>9</v>
      </c>
      <c r="E45" s="10" t="s">
        <v>430</v>
      </c>
      <c r="F45" s="12">
        <v>5500</v>
      </c>
      <c r="G45" s="16">
        <v>0</v>
      </c>
      <c r="H45" s="14">
        <f>IF(A45="G",1,0)*G45</f>
        <v>0</v>
      </c>
      <c r="I45" s="14">
        <f>IF(A45="F",1,0)*G45</f>
        <v>0</v>
      </c>
      <c r="J45" s="17">
        <f>F45/C45</f>
        <v>287.95811518324604</v>
      </c>
      <c r="K45" s="18">
        <f>F45*G45</f>
        <v>0</v>
      </c>
      <c r="L45" s="14">
        <f>G45*C45</f>
        <v>0</v>
      </c>
    </row>
    <row r="46" spans="1:12" ht="16">
      <c r="A46" s="10" t="s">
        <v>3</v>
      </c>
      <c r="B46" s="11" t="s">
        <v>448</v>
      </c>
      <c r="C46" s="10">
        <v>25</v>
      </c>
      <c r="D46" s="10">
        <v>15</v>
      </c>
      <c r="E46" s="10" t="s">
        <v>401</v>
      </c>
      <c r="F46" s="12">
        <v>7200</v>
      </c>
      <c r="G46" s="16">
        <v>0</v>
      </c>
      <c r="H46" s="14">
        <f>IF(A46="G",1,0)*G46</f>
        <v>0</v>
      </c>
      <c r="I46" s="14">
        <f>IF(A46="F",1,0)*G46</f>
        <v>0</v>
      </c>
      <c r="J46" s="17">
        <f>F46/C46</f>
        <v>288</v>
      </c>
      <c r="K46" s="18">
        <f>F46*G46</f>
        <v>0</v>
      </c>
      <c r="L46" s="14">
        <f>G46*C46</f>
        <v>0</v>
      </c>
    </row>
    <row r="47" spans="1:12" ht="16">
      <c r="A47" s="10" t="s">
        <v>0</v>
      </c>
      <c r="B47" s="11" t="s">
        <v>451</v>
      </c>
      <c r="C47" s="10">
        <v>25</v>
      </c>
      <c r="D47" s="10">
        <v>14</v>
      </c>
      <c r="E47" s="13" t="s">
        <v>422</v>
      </c>
      <c r="F47" s="12">
        <v>7200</v>
      </c>
      <c r="G47" s="16">
        <v>0</v>
      </c>
      <c r="H47" s="14">
        <f>IF(A47="G",1,0)*G47</f>
        <v>0</v>
      </c>
      <c r="I47" s="14">
        <f>IF(A47="F",1,0)*G47</f>
        <v>0</v>
      </c>
      <c r="J47" s="17">
        <f>F47/C47</f>
        <v>288</v>
      </c>
      <c r="K47" s="18">
        <f>F47*G47</f>
        <v>0</v>
      </c>
      <c r="L47" s="14">
        <f>G47*C47</f>
        <v>0</v>
      </c>
    </row>
    <row r="48" spans="1:12" ht="16">
      <c r="A48" s="10" t="s">
        <v>0</v>
      </c>
      <c r="B48" s="11" t="s">
        <v>540</v>
      </c>
      <c r="C48" s="10">
        <v>18.399999999999999</v>
      </c>
      <c r="D48" s="10">
        <v>13</v>
      </c>
      <c r="E48" s="13" t="s">
        <v>435</v>
      </c>
      <c r="F48" s="12">
        <v>5300</v>
      </c>
      <c r="G48" s="16">
        <v>0</v>
      </c>
      <c r="H48" s="14">
        <f>IF(A48="G",1,0)*G48</f>
        <v>0</v>
      </c>
      <c r="I48" s="14">
        <f>IF(A48="F",1,0)*G48</f>
        <v>0</v>
      </c>
      <c r="J48" s="17">
        <f>F48/C48</f>
        <v>288.04347826086956</v>
      </c>
      <c r="K48" s="18">
        <f>F48*G48</f>
        <v>0</v>
      </c>
      <c r="L48" s="14">
        <f>G48*C48</f>
        <v>0</v>
      </c>
    </row>
    <row r="49" spans="1:12" ht="16">
      <c r="A49" s="10" t="s">
        <v>3</v>
      </c>
      <c r="B49" s="11" t="s">
        <v>630</v>
      </c>
      <c r="C49" s="10">
        <v>15.6</v>
      </c>
      <c r="D49" s="10">
        <v>15</v>
      </c>
      <c r="E49" s="13" t="s">
        <v>427</v>
      </c>
      <c r="F49" s="12">
        <v>4500</v>
      </c>
      <c r="G49" s="16">
        <v>0</v>
      </c>
      <c r="H49" s="14">
        <f>IF(A49="G",1,0)*G49</f>
        <v>0</v>
      </c>
      <c r="I49" s="14">
        <f>IF(A49="F",1,0)*G49</f>
        <v>0</v>
      </c>
      <c r="J49" s="17">
        <f>F49/C49</f>
        <v>288.46153846153845</v>
      </c>
      <c r="K49" s="18">
        <f>F49*G49</f>
        <v>0</v>
      </c>
      <c r="L49" s="14">
        <f>G49*C49</f>
        <v>0</v>
      </c>
    </row>
    <row r="50" spans="1:12" ht="16">
      <c r="A50" s="10" t="s">
        <v>3</v>
      </c>
      <c r="B50" s="11" t="s">
        <v>503</v>
      </c>
      <c r="C50" s="10">
        <v>20.399999999999999</v>
      </c>
      <c r="D50" s="10">
        <v>15</v>
      </c>
      <c r="E50" s="13" t="s">
        <v>455</v>
      </c>
      <c r="F50" s="12">
        <v>5900</v>
      </c>
      <c r="G50" s="16">
        <v>0</v>
      </c>
      <c r="H50" s="14">
        <f>IF(A50="G",1,0)*G50</f>
        <v>0</v>
      </c>
      <c r="I50" s="14">
        <f>IF(A50="F",1,0)*G50</f>
        <v>0</v>
      </c>
      <c r="J50" s="17">
        <f>F50/C50</f>
        <v>289.21568627450984</v>
      </c>
      <c r="K50" s="18">
        <f>F50*G50</f>
        <v>0</v>
      </c>
      <c r="L50" s="14">
        <f>G50*C50</f>
        <v>0</v>
      </c>
    </row>
    <row r="51" spans="1:12" ht="16">
      <c r="A51" s="10" t="s">
        <v>3</v>
      </c>
      <c r="B51" s="11" t="s">
        <v>486</v>
      </c>
      <c r="C51" s="10">
        <v>21.4</v>
      </c>
      <c r="D51" s="10">
        <v>15</v>
      </c>
      <c r="E51" s="13" t="s">
        <v>460</v>
      </c>
      <c r="F51" s="12">
        <v>6200</v>
      </c>
      <c r="G51" s="16">
        <v>0</v>
      </c>
      <c r="H51" s="14">
        <f>IF(A51="G",1,0)*G51</f>
        <v>0</v>
      </c>
      <c r="I51" s="14">
        <f>IF(A51="F",1,0)*G51</f>
        <v>0</v>
      </c>
      <c r="J51" s="17">
        <f>F51/C51</f>
        <v>289.71962616822429</v>
      </c>
      <c r="K51" s="18">
        <f>F51*G51</f>
        <v>0</v>
      </c>
      <c r="L51" s="14">
        <f>G51*C51</f>
        <v>0</v>
      </c>
    </row>
    <row r="52" spans="1:12" ht="16">
      <c r="A52" s="10" t="s">
        <v>0</v>
      </c>
      <c r="B52" s="11" t="s">
        <v>463</v>
      </c>
      <c r="C52" s="10">
        <v>23.8</v>
      </c>
      <c r="D52" s="10">
        <v>15</v>
      </c>
      <c r="E52" s="10" t="s">
        <v>464</v>
      </c>
      <c r="F52" s="12">
        <v>6900</v>
      </c>
      <c r="G52" s="16">
        <v>0</v>
      </c>
      <c r="H52" s="14">
        <f>IF(A52="G",1,0)*G52</f>
        <v>0</v>
      </c>
      <c r="I52" s="14">
        <f>IF(A52="F",1,0)*G52</f>
        <v>0</v>
      </c>
      <c r="J52" s="17">
        <f>F52/C52</f>
        <v>289.9159663865546</v>
      </c>
      <c r="K52" s="18">
        <f>F52*G52</f>
        <v>0</v>
      </c>
      <c r="L52" s="14">
        <f>G52*C52</f>
        <v>0</v>
      </c>
    </row>
    <row r="53" spans="1:12" ht="16">
      <c r="A53" s="10" t="s">
        <v>0</v>
      </c>
      <c r="B53" s="11" t="s">
        <v>438</v>
      </c>
      <c r="C53" s="10">
        <v>25.5</v>
      </c>
      <c r="D53" s="10">
        <v>15</v>
      </c>
      <c r="E53" s="13" t="s">
        <v>420</v>
      </c>
      <c r="F53" s="12">
        <v>7400</v>
      </c>
      <c r="G53" s="16">
        <v>0</v>
      </c>
      <c r="H53" s="14">
        <f>IF(A53="G",1,0)*G53</f>
        <v>0</v>
      </c>
      <c r="I53" s="14">
        <f>IF(A53="F",1,0)*G53</f>
        <v>0</v>
      </c>
      <c r="J53" s="17">
        <f>F53/C53</f>
        <v>290.19607843137254</v>
      </c>
      <c r="K53" s="18">
        <f>F53*G53</f>
        <v>0</v>
      </c>
      <c r="L53" s="14">
        <f>G53*C53</f>
        <v>0</v>
      </c>
    </row>
    <row r="54" spans="1:12" ht="16">
      <c r="A54" s="10" t="s">
        <v>0</v>
      </c>
      <c r="B54" s="11" t="s">
        <v>457</v>
      </c>
      <c r="C54" s="10">
        <v>24.1</v>
      </c>
      <c r="D54" s="10">
        <v>5</v>
      </c>
      <c r="E54" s="13" t="s">
        <v>418</v>
      </c>
      <c r="F54" s="12">
        <v>7000</v>
      </c>
      <c r="G54" s="16">
        <v>0</v>
      </c>
      <c r="H54" s="14">
        <f>IF(A54="G",1,0)*G54</f>
        <v>0</v>
      </c>
      <c r="I54" s="14">
        <f>IF(A54="F",1,0)*G54</f>
        <v>0</v>
      </c>
      <c r="J54" s="17">
        <f>F54/C54</f>
        <v>290.4564315352697</v>
      </c>
      <c r="K54" s="18">
        <f>F54*G54</f>
        <v>0</v>
      </c>
      <c r="L54" s="14">
        <f>G54*C54</f>
        <v>0</v>
      </c>
    </row>
    <row r="55" spans="1:12" ht="16">
      <c r="A55" s="10" t="s">
        <v>0</v>
      </c>
      <c r="B55" s="11" t="s">
        <v>489</v>
      </c>
      <c r="C55" s="10">
        <v>21</v>
      </c>
      <c r="D55" s="10">
        <v>15</v>
      </c>
      <c r="E55" s="13" t="s">
        <v>427</v>
      </c>
      <c r="F55" s="12">
        <v>6100</v>
      </c>
      <c r="G55" s="16">
        <v>0</v>
      </c>
      <c r="H55" s="14">
        <f>IF(A55="G",1,0)*G55</f>
        <v>0</v>
      </c>
      <c r="I55" s="14">
        <f>IF(A55="F",1,0)*G55</f>
        <v>0</v>
      </c>
      <c r="J55" s="17">
        <f>F55/C55</f>
        <v>290.47619047619048</v>
      </c>
      <c r="K55" s="18">
        <f>F55*G55</f>
        <v>0</v>
      </c>
      <c r="L55" s="14">
        <f>G55*C55</f>
        <v>0</v>
      </c>
    </row>
    <row r="56" spans="1:12" ht="16">
      <c r="A56" s="10" t="s">
        <v>0</v>
      </c>
      <c r="B56" s="11" t="s">
        <v>532</v>
      </c>
      <c r="C56" s="10">
        <v>18.5</v>
      </c>
      <c r="D56" s="10">
        <v>15</v>
      </c>
      <c r="E56" s="13" t="s">
        <v>427</v>
      </c>
      <c r="F56" s="12">
        <v>5400</v>
      </c>
      <c r="G56" s="16">
        <v>0</v>
      </c>
      <c r="H56" s="14">
        <f>IF(A56="G",1,0)*G56</f>
        <v>0</v>
      </c>
      <c r="I56" s="14">
        <f>IF(A56="F",1,0)*G56</f>
        <v>0</v>
      </c>
      <c r="J56" s="17">
        <f>F56/C56</f>
        <v>291.89189189189187</v>
      </c>
      <c r="K56" s="18">
        <f>F56*G56</f>
        <v>0</v>
      </c>
      <c r="L56" s="14">
        <f>G56*C56</f>
        <v>0</v>
      </c>
    </row>
    <row r="57" spans="1:12" ht="16">
      <c r="A57" s="10" t="s">
        <v>0</v>
      </c>
      <c r="B57" s="11" t="s">
        <v>552</v>
      </c>
      <c r="C57" s="10">
        <v>17.8</v>
      </c>
      <c r="D57" s="10">
        <v>15</v>
      </c>
      <c r="E57" s="10" t="s">
        <v>464</v>
      </c>
      <c r="F57" s="12">
        <v>5200</v>
      </c>
      <c r="G57" s="16">
        <v>0</v>
      </c>
      <c r="H57" s="14">
        <f>IF(A57="G",1,0)*G57</f>
        <v>0</v>
      </c>
      <c r="I57" s="14">
        <f>IF(A57="F",1,0)*G57</f>
        <v>0</v>
      </c>
      <c r="J57" s="17">
        <f>F57/C57</f>
        <v>292.13483146067415</v>
      </c>
      <c r="K57" s="18">
        <f>F57*G57</f>
        <v>0</v>
      </c>
      <c r="L57" s="14">
        <f>G57*C57</f>
        <v>0</v>
      </c>
    </row>
    <row r="58" spans="1:12" ht="16">
      <c r="A58" s="10" t="s">
        <v>3</v>
      </c>
      <c r="B58" s="11" t="s">
        <v>444</v>
      </c>
      <c r="C58" s="10">
        <v>24.6</v>
      </c>
      <c r="D58" s="10">
        <v>13</v>
      </c>
      <c r="E58" s="10" t="s">
        <v>437</v>
      </c>
      <c r="F58" s="12">
        <v>7200</v>
      </c>
      <c r="G58" s="16">
        <v>0</v>
      </c>
      <c r="H58" s="14">
        <f>IF(A58="G",1,0)*G58</f>
        <v>0</v>
      </c>
      <c r="I58" s="14">
        <f>IF(A58="F",1,0)*G58</f>
        <v>0</v>
      </c>
      <c r="J58" s="17">
        <f>F58/C58</f>
        <v>292.6829268292683</v>
      </c>
      <c r="K58" s="18">
        <f>F58*G58</f>
        <v>0</v>
      </c>
      <c r="L58" s="14">
        <f>G58*C58</f>
        <v>0</v>
      </c>
    </row>
    <row r="59" spans="1:12" ht="16">
      <c r="A59" s="10" t="s">
        <v>3</v>
      </c>
      <c r="B59" s="11" t="s">
        <v>538</v>
      </c>
      <c r="C59" s="10">
        <v>18.100000000000001</v>
      </c>
      <c r="D59" s="10">
        <v>15</v>
      </c>
      <c r="E59" s="10" t="s">
        <v>410</v>
      </c>
      <c r="F59" s="12">
        <v>5300</v>
      </c>
      <c r="G59" s="16">
        <v>0</v>
      </c>
      <c r="H59" s="14">
        <f>IF(A59="G",1,0)*G59</f>
        <v>0</v>
      </c>
      <c r="I59" s="14">
        <f>IF(A59="F",1,0)*G59</f>
        <v>0</v>
      </c>
      <c r="J59" s="17">
        <f>F59/C59</f>
        <v>292.81767955801104</v>
      </c>
      <c r="K59" s="18">
        <f>F59*G59</f>
        <v>0</v>
      </c>
      <c r="L59" s="14">
        <f>G59*C59</f>
        <v>0</v>
      </c>
    </row>
    <row r="60" spans="1:12" ht="16">
      <c r="A60" s="10" t="s">
        <v>0</v>
      </c>
      <c r="B60" s="11" t="s">
        <v>458</v>
      </c>
      <c r="C60" s="10">
        <v>23.5</v>
      </c>
      <c r="D60" s="10">
        <v>13</v>
      </c>
      <c r="E60" s="13" t="s">
        <v>407</v>
      </c>
      <c r="F60" s="12">
        <v>6900</v>
      </c>
      <c r="G60" s="16">
        <v>0</v>
      </c>
      <c r="H60" s="14">
        <f>IF(A60="G",1,0)*G60</f>
        <v>0</v>
      </c>
      <c r="I60" s="14">
        <f>IF(A60="F",1,0)*G60</f>
        <v>0</v>
      </c>
      <c r="J60" s="17">
        <f>F60/C60</f>
        <v>293.61702127659572</v>
      </c>
      <c r="K60" s="18">
        <f>F60*G60</f>
        <v>0</v>
      </c>
      <c r="L60" s="14">
        <f>G60*C60</f>
        <v>0</v>
      </c>
    </row>
    <row r="61" spans="1:12" ht="16">
      <c r="A61" s="10" t="s">
        <v>0</v>
      </c>
      <c r="B61" s="11" t="s">
        <v>556</v>
      </c>
      <c r="C61" s="10">
        <v>17.3</v>
      </c>
      <c r="D61" s="10">
        <v>14</v>
      </c>
      <c r="E61" s="10" t="s">
        <v>479</v>
      </c>
      <c r="F61" s="12">
        <v>5100</v>
      </c>
      <c r="G61" s="16">
        <v>0</v>
      </c>
      <c r="H61" s="14">
        <f>IF(A61="G",1,0)*G61</f>
        <v>0</v>
      </c>
      <c r="I61" s="14">
        <f>IF(A61="F",1,0)*G61</f>
        <v>0</v>
      </c>
      <c r="J61" s="17">
        <f>F61/C61</f>
        <v>294.79768786127164</v>
      </c>
      <c r="K61" s="18">
        <f>F61*G61</f>
        <v>0</v>
      </c>
      <c r="L61" s="14">
        <f>G61*C61</f>
        <v>0</v>
      </c>
    </row>
    <row r="62" spans="1:12" ht="16">
      <c r="A62" s="10" t="s">
        <v>3</v>
      </c>
      <c r="B62" s="11" t="s">
        <v>557</v>
      </c>
      <c r="C62" s="10">
        <v>17.3</v>
      </c>
      <c r="D62" s="10">
        <v>12</v>
      </c>
      <c r="E62" s="10" t="s">
        <v>433</v>
      </c>
      <c r="F62" s="12">
        <v>5100</v>
      </c>
      <c r="G62" s="16">
        <v>0</v>
      </c>
      <c r="H62" s="14">
        <f>IF(A62="G",1,0)*G62</f>
        <v>0</v>
      </c>
      <c r="I62" s="14">
        <f>IF(A62="F",1,0)*G62</f>
        <v>0</v>
      </c>
      <c r="J62" s="17">
        <f>F62/C62</f>
        <v>294.79768786127164</v>
      </c>
      <c r="K62" s="18">
        <f>F62*G62</f>
        <v>0</v>
      </c>
      <c r="L62" s="14">
        <f>G62*C62</f>
        <v>0</v>
      </c>
    </row>
    <row r="63" spans="1:12" ht="16">
      <c r="A63" s="10" t="s">
        <v>0</v>
      </c>
      <c r="B63" s="11" t="s">
        <v>434</v>
      </c>
      <c r="C63" s="10">
        <v>25.1</v>
      </c>
      <c r="D63" s="10">
        <v>13</v>
      </c>
      <c r="E63" s="13" t="s">
        <v>435</v>
      </c>
      <c r="F63" s="12">
        <v>7400</v>
      </c>
      <c r="G63" s="16">
        <v>0</v>
      </c>
      <c r="H63" s="14">
        <f>IF(A63="G",1,0)*G63</f>
        <v>0</v>
      </c>
      <c r="I63" s="14">
        <f>IF(A63="F",1,0)*G63</f>
        <v>0</v>
      </c>
      <c r="J63" s="17">
        <f>F63/C63</f>
        <v>294.82071713147411</v>
      </c>
      <c r="K63" s="18">
        <f>F63*G63</f>
        <v>0</v>
      </c>
      <c r="L63" s="14">
        <f>G63*C63</f>
        <v>0</v>
      </c>
    </row>
    <row r="64" spans="1:12" ht="16">
      <c r="A64" s="10" t="s">
        <v>3</v>
      </c>
      <c r="B64" s="11" t="s">
        <v>459</v>
      </c>
      <c r="C64" s="10">
        <v>23.4</v>
      </c>
      <c r="D64" s="10">
        <v>15</v>
      </c>
      <c r="E64" s="13" t="s">
        <v>460</v>
      </c>
      <c r="F64" s="12">
        <v>6900</v>
      </c>
      <c r="G64" s="16">
        <v>0</v>
      </c>
      <c r="H64" s="14">
        <f>IF(A64="G",1,0)*G64</f>
        <v>0</v>
      </c>
      <c r="I64" s="14">
        <f>IF(A64="F",1,0)*G64</f>
        <v>0</v>
      </c>
      <c r="J64" s="17">
        <f>F64/C64</f>
        <v>294.87179487179486</v>
      </c>
      <c r="K64" s="18">
        <f>F64*G64</f>
        <v>0</v>
      </c>
      <c r="L64" s="14">
        <f>G64*C64</f>
        <v>0</v>
      </c>
    </row>
    <row r="65" spans="1:12" ht="16">
      <c r="A65" s="10" t="s">
        <v>3</v>
      </c>
      <c r="B65" s="11" t="s">
        <v>502</v>
      </c>
      <c r="C65" s="10">
        <v>20</v>
      </c>
      <c r="D65" s="10">
        <v>13</v>
      </c>
      <c r="E65" s="10" t="s">
        <v>437</v>
      </c>
      <c r="F65" s="12">
        <v>5900</v>
      </c>
      <c r="G65" s="16">
        <v>0</v>
      </c>
      <c r="H65" s="14">
        <f>IF(A65="G",1,0)*G65</f>
        <v>0</v>
      </c>
      <c r="I65" s="14">
        <f>IF(A65="F",1,0)*G65</f>
        <v>0</v>
      </c>
      <c r="J65" s="17">
        <f>F65/C65</f>
        <v>295</v>
      </c>
      <c r="K65" s="18">
        <f>F65*G65</f>
        <v>0</v>
      </c>
      <c r="L65" s="14">
        <f>G65*C65</f>
        <v>0</v>
      </c>
    </row>
    <row r="66" spans="1:12" ht="16">
      <c r="A66" s="10" t="s">
        <v>3</v>
      </c>
      <c r="B66" s="11" t="s">
        <v>531</v>
      </c>
      <c r="C66" s="10">
        <v>18.3</v>
      </c>
      <c r="D66" s="10">
        <v>12</v>
      </c>
      <c r="E66" s="10" t="s">
        <v>494</v>
      </c>
      <c r="F66" s="12">
        <v>5400</v>
      </c>
      <c r="G66" s="16">
        <v>0</v>
      </c>
      <c r="H66" s="14">
        <f>IF(A66="G",1,0)*G66</f>
        <v>0</v>
      </c>
      <c r="I66" s="14">
        <f>IF(A66="F",1,0)*G66</f>
        <v>0</v>
      </c>
      <c r="J66" s="17">
        <f>F66/C66</f>
        <v>295.08196721311475</v>
      </c>
      <c r="K66" s="18">
        <f>F66*G66</f>
        <v>0</v>
      </c>
      <c r="L66" s="14">
        <f>G66*C66</f>
        <v>0</v>
      </c>
    </row>
    <row r="67" spans="1:12" ht="16">
      <c r="A67" s="10" t="s">
        <v>3</v>
      </c>
      <c r="B67" s="11" t="s">
        <v>456</v>
      </c>
      <c r="C67" s="10">
        <v>23.7</v>
      </c>
      <c r="D67" s="10">
        <v>11</v>
      </c>
      <c r="E67" s="13" t="s">
        <v>447</v>
      </c>
      <c r="F67" s="12">
        <v>7000</v>
      </c>
      <c r="G67" s="16">
        <v>0</v>
      </c>
      <c r="H67" s="14">
        <f>IF(A67="G",1,0)*G67</f>
        <v>0</v>
      </c>
      <c r="I67" s="14">
        <f>IF(A67="F",1,0)*G67</f>
        <v>0</v>
      </c>
      <c r="J67" s="17">
        <f>F67/C67</f>
        <v>295.35864978902953</v>
      </c>
      <c r="K67" s="18">
        <f>F67*G67</f>
        <v>0</v>
      </c>
      <c r="L67" s="14">
        <f>G67*C67</f>
        <v>0</v>
      </c>
    </row>
    <row r="68" spans="1:12" ht="16">
      <c r="A68" s="10" t="s">
        <v>0</v>
      </c>
      <c r="B68" s="11" t="s">
        <v>491</v>
      </c>
      <c r="C68" s="10">
        <v>20.6</v>
      </c>
      <c r="D68" s="10">
        <v>12</v>
      </c>
      <c r="E68" s="10" t="s">
        <v>433</v>
      </c>
      <c r="F68" s="12">
        <v>6100</v>
      </c>
      <c r="G68" s="16">
        <v>0</v>
      </c>
      <c r="H68" s="14">
        <f>IF(A68="G",1,0)*G68</f>
        <v>0</v>
      </c>
      <c r="I68" s="14">
        <f>IF(A68="F",1,0)*G68</f>
        <v>0</v>
      </c>
      <c r="J68" s="17">
        <f>F68/C68</f>
        <v>296.11650485436888</v>
      </c>
      <c r="K68" s="18">
        <f>F68*G68</f>
        <v>0</v>
      </c>
      <c r="L68" s="14">
        <f>G68*C68</f>
        <v>0</v>
      </c>
    </row>
    <row r="69" spans="1:12" ht="16">
      <c r="A69" s="10" t="s">
        <v>3</v>
      </c>
      <c r="B69" s="11" t="s">
        <v>488</v>
      </c>
      <c r="C69" s="10">
        <v>20.9</v>
      </c>
      <c r="D69" s="10">
        <v>13</v>
      </c>
      <c r="E69" s="13" t="s">
        <v>450</v>
      </c>
      <c r="F69" s="12">
        <v>6200</v>
      </c>
      <c r="G69" s="16">
        <v>0</v>
      </c>
      <c r="H69" s="14">
        <f>IF(A69="G",1,0)*G69</f>
        <v>0</v>
      </c>
      <c r="I69" s="14">
        <f>IF(A69="F",1,0)*G69</f>
        <v>0</v>
      </c>
      <c r="J69" s="17">
        <f>F69/C69</f>
        <v>296.6507177033493</v>
      </c>
      <c r="K69" s="18">
        <f>F69*G69</f>
        <v>0</v>
      </c>
      <c r="L69" s="14">
        <f>G69*C69</f>
        <v>0</v>
      </c>
    </row>
    <row r="70" spans="1:12" ht="16">
      <c r="A70" s="10" t="s">
        <v>0</v>
      </c>
      <c r="B70" s="11" t="s">
        <v>469</v>
      </c>
      <c r="C70" s="10">
        <v>22.8</v>
      </c>
      <c r="D70" s="10">
        <v>15</v>
      </c>
      <c r="E70" s="13" t="s">
        <v>418</v>
      </c>
      <c r="F70" s="12">
        <v>6800</v>
      </c>
      <c r="G70" s="16">
        <v>0</v>
      </c>
      <c r="H70" s="14">
        <f>IF(A70="G",1,0)*G70</f>
        <v>0</v>
      </c>
      <c r="I70" s="14">
        <f>IF(A70="F",1,0)*G70</f>
        <v>0</v>
      </c>
      <c r="J70" s="17">
        <f>F70/C70</f>
        <v>298.24561403508773</v>
      </c>
      <c r="K70" s="18">
        <f>F70*G70</f>
        <v>0</v>
      </c>
      <c r="L70" s="14">
        <f>G70*C70</f>
        <v>0</v>
      </c>
    </row>
    <row r="71" spans="1:12" ht="16">
      <c r="A71" s="10" t="s">
        <v>0</v>
      </c>
      <c r="B71" s="11" t="s">
        <v>431</v>
      </c>
      <c r="C71" s="10">
        <v>24.8</v>
      </c>
      <c r="D71" s="10">
        <v>12</v>
      </c>
      <c r="E71" s="13" t="s">
        <v>414</v>
      </c>
      <c r="F71" s="12">
        <v>7400</v>
      </c>
      <c r="G71" s="16">
        <v>0</v>
      </c>
      <c r="H71" s="14">
        <f>IF(A71="G",1,0)*G71</f>
        <v>0</v>
      </c>
      <c r="I71" s="14">
        <f>IF(A71="F",1,0)*G71</f>
        <v>0</v>
      </c>
      <c r="J71" s="17">
        <f>F71/C71</f>
        <v>298.38709677419354</v>
      </c>
      <c r="K71" s="18">
        <f>F71*G71</f>
        <v>0</v>
      </c>
      <c r="L71" s="14">
        <f>G71*C71</f>
        <v>0</v>
      </c>
    </row>
    <row r="72" spans="1:12" ht="16">
      <c r="A72" s="10" t="s">
        <v>3</v>
      </c>
      <c r="B72" s="11" t="s">
        <v>472</v>
      </c>
      <c r="C72" s="10">
        <v>22.1</v>
      </c>
      <c r="D72" s="10">
        <v>12</v>
      </c>
      <c r="E72" s="10" t="s">
        <v>430</v>
      </c>
      <c r="F72" s="12">
        <v>6600</v>
      </c>
      <c r="G72" s="16">
        <v>0</v>
      </c>
      <c r="H72" s="14">
        <f>IF(A72="G",1,0)*G72</f>
        <v>0</v>
      </c>
      <c r="I72" s="14">
        <f>IF(A72="F",1,0)*G72</f>
        <v>0</v>
      </c>
      <c r="J72" s="17">
        <f>F72/C72</f>
        <v>298.64253393665155</v>
      </c>
      <c r="K72" s="18">
        <f>F72*G72</f>
        <v>0</v>
      </c>
      <c r="L72" s="14">
        <f>G72*C72</f>
        <v>0</v>
      </c>
    </row>
    <row r="73" spans="1:12" ht="16">
      <c r="A73" s="10" t="s">
        <v>0</v>
      </c>
      <c r="B73" s="11" t="s">
        <v>527</v>
      </c>
      <c r="C73" s="10">
        <v>18.399999999999999</v>
      </c>
      <c r="D73" s="10">
        <v>15</v>
      </c>
      <c r="E73" s="13" t="s">
        <v>460</v>
      </c>
      <c r="F73" s="12">
        <v>5500</v>
      </c>
      <c r="G73" s="16">
        <v>0</v>
      </c>
      <c r="H73" s="14">
        <f>IF(A73="G",1,0)*G73</f>
        <v>0</v>
      </c>
      <c r="I73" s="14">
        <f>IF(A73="F",1,0)*G73</f>
        <v>0</v>
      </c>
      <c r="J73" s="17">
        <f>F73/C73</f>
        <v>298.91304347826087</v>
      </c>
      <c r="K73" s="18">
        <f>F73*G73</f>
        <v>0</v>
      </c>
      <c r="L73" s="14">
        <f>G73*C73</f>
        <v>0</v>
      </c>
    </row>
    <row r="74" spans="1:12" ht="16">
      <c r="A74" s="10" t="s">
        <v>3</v>
      </c>
      <c r="B74" s="11" t="s">
        <v>536</v>
      </c>
      <c r="C74" s="10">
        <v>17.7</v>
      </c>
      <c r="D74" s="10">
        <v>11</v>
      </c>
      <c r="E74" s="13" t="s">
        <v>412</v>
      </c>
      <c r="F74" s="12">
        <v>5300</v>
      </c>
      <c r="G74" s="16">
        <v>0</v>
      </c>
      <c r="H74" s="14">
        <f>IF(A74="G",1,0)*G74</f>
        <v>0</v>
      </c>
      <c r="I74" s="14">
        <f>IF(A74="F",1,0)*G74</f>
        <v>0</v>
      </c>
      <c r="J74" s="17">
        <f>F74/C74</f>
        <v>299.43502824858757</v>
      </c>
      <c r="K74" s="18">
        <f>F74*G74</f>
        <v>0</v>
      </c>
      <c r="L74" s="14">
        <f>G74*C74</f>
        <v>0</v>
      </c>
    </row>
    <row r="75" spans="1:12" ht="16">
      <c r="A75" s="10" t="s">
        <v>3</v>
      </c>
      <c r="B75" s="11" t="s">
        <v>445</v>
      </c>
      <c r="C75" s="10">
        <v>24</v>
      </c>
      <c r="D75" s="10">
        <v>15</v>
      </c>
      <c r="E75" s="13" t="s">
        <v>405</v>
      </c>
      <c r="F75" s="12">
        <v>7200</v>
      </c>
      <c r="G75" s="16">
        <v>0</v>
      </c>
      <c r="H75" s="14">
        <f>IF(A75="G",1,0)*G75</f>
        <v>0</v>
      </c>
      <c r="I75" s="14">
        <f>IF(A75="F",1,0)*G75</f>
        <v>0</v>
      </c>
      <c r="J75" s="17">
        <f>F75/C75</f>
        <v>300</v>
      </c>
      <c r="K75" s="18">
        <f>F75*G75</f>
        <v>0</v>
      </c>
      <c r="L75" s="14">
        <f>G75*C75</f>
        <v>0</v>
      </c>
    </row>
    <row r="76" spans="1:12" ht="16">
      <c r="A76" s="10" t="s">
        <v>0</v>
      </c>
      <c r="B76" s="11" t="s">
        <v>284</v>
      </c>
      <c r="C76" s="10">
        <v>18.3</v>
      </c>
      <c r="D76" s="10">
        <v>14</v>
      </c>
      <c r="E76" s="10" t="s">
        <v>403</v>
      </c>
      <c r="F76" s="12">
        <v>5500</v>
      </c>
      <c r="G76" s="16">
        <v>0</v>
      </c>
      <c r="H76" s="14">
        <f>IF(A76="G",1,0)*G76</f>
        <v>0</v>
      </c>
      <c r="I76" s="14">
        <f>IF(A76="F",1,0)*G76</f>
        <v>0</v>
      </c>
      <c r="J76" s="17">
        <f>F76/C76</f>
        <v>300.54644808743166</v>
      </c>
      <c r="K76" s="18">
        <f>F76*G76</f>
        <v>0</v>
      </c>
      <c r="L76" s="14">
        <f>G76*C76</f>
        <v>0</v>
      </c>
    </row>
    <row r="77" spans="1:12" ht="16">
      <c r="A77" s="10" t="s">
        <v>3</v>
      </c>
      <c r="B77" s="11" t="s">
        <v>554</v>
      </c>
      <c r="C77" s="10">
        <v>17.3</v>
      </c>
      <c r="D77" s="10">
        <v>13</v>
      </c>
      <c r="E77" s="13" t="s">
        <v>435</v>
      </c>
      <c r="F77" s="12">
        <v>5200</v>
      </c>
      <c r="G77" s="16">
        <v>0</v>
      </c>
      <c r="H77" s="14">
        <f>IF(A77="G",1,0)*G77</f>
        <v>0</v>
      </c>
      <c r="I77" s="14">
        <f>IF(A77="F",1,0)*G77</f>
        <v>0</v>
      </c>
      <c r="J77" s="17">
        <f>F77/C77</f>
        <v>300.5780346820809</v>
      </c>
      <c r="K77" s="18">
        <f>F77*G77</f>
        <v>0</v>
      </c>
      <c r="L77" s="14">
        <f>G77*C77</f>
        <v>0</v>
      </c>
    </row>
    <row r="78" spans="1:12" ht="16">
      <c r="A78" s="10" t="s">
        <v>0</v>
      </c>
      <c r="B78" s="11" t="s">
        <v>421</v>
      </c>
      <c r="C78" s="10">
        <v>25.6</v>
      </c>
      <c r="D78" s="10">
        <v>15</v>
      </c>
      <c r="E78" s="13" t="s">
        <v>420</v>
      </c>
      <c r="F78" s="12">
        <v>7700</v>
      </c>
      <c r="G78" s="16">
        <v>0</v>
      </c>
      <c r="H78" s="14">
        <f>IF(A78="G",1,0)*G78</f>
        <v>0</v>
      </c>
      <c r="I78" s="14">
        <f>IF(A78="F",1,0)*G78</f>
        <v>0</v>
      </c>
      <c r="J78" s="17">
        <f>F78/C78</f>
        <v>300.78125</v>
      </c>
      <c r="K78" s="18">
        <f>F78*G78</f>
        <v>0</v>
      </c>
      <c r="L78" s="14">
        <f>G78*C78</f>
        <v>0</v>
      </c>
    </row>
    <row r="79" spans="1:12" ht="16">
      <c r="A79" s="10" t="s">
        <v>3</v>
      </c>
      <c r="B79" s="11" t="s">
        <v>467</v>
      </c>
      <c r="C79" s="10">
        <v>22.6</v>
      </c>
      <c r="D79" s="10">
        <v>14</v>
      </c>
      <c r="E79" s="13" t="s">
        <v>424</v>
      </c>
      <c r="F79" s="12">
        <v>6800</v>
      </c>
      <c r="G79" s="16">
        <v>0</v>
      </c>
      <c r="H79" s="14">
        <f>IF(A79="G",1,0)*G79</f>
        <v>0</v>
      </c>
      <c r="I79" s="14">
        <f>IF(A79="F",1,0)*G79</f>
        <v>0</v>
      </c>
      <c r="J79" s="17">
        <f>F79/C79</f>
        <v>300.88495575221236</v>
      </c>
      <c r="K79" s="18">
        <f>F79*G79</f>
        <v>0</v>
      </c>
      <c r="L79" s="14">
        <f>G79*C79</f>
        <v>0</v>
      </c>
    </row>
    <row r="80" spans="1:12" ht="16">
      <c r="A80" s="10" t="s">
        <v>0</v>
      </c>
      <c r="B80" s="11" t="s">
        <v>562</v>
      </c>
      <c r="C80" s="10">
        <v>16.600000000000001</v>
      </c>
      <c r="D80" s="10">
        <v>15</v>
      </c>
      <c r="E80" s="13" t="s">
        <v>420</v>
      </c>
      <c r="F80" s="12">
        <v>5000</v>
      </c>
      <c r="G80" s="16">
        <v>0</v>
      </c>
      <c r="H80" s="14">
        <f>IF(A80="G",1,0)*G80</f>
        <v>0</v>
      </c>
      <c r="I80" s="14">
        <f>IF(A80="F",1,0)*G80</f>
        <v>0</v>
      </c>
      <c r="J80" s="17">
        <f>F80/C80</f>
        <v>301.20481927710841</v>
      </c>
      <c r="K80" s="18">
        <f>F80*G80</f>
        <v>0</v>
      </c>
      <c r="L80" s="14">
        <f>G80*C80</f>
        <v>0</v>
      </c>
    </row>
    <row r="81" spans="1:12" ht="16">
      <c r="A81" s="10" t="s">
        <v>0</v>
      </c>
      <c r="B81" s="11" t="s">
        <v>513</v>
      </c>
      <c r="C81" s="10">
        <v>18.899999999999999</v>
      </c>
      <c r="D81" s="10">
        <v>14</v>
      </c>
      <c r="E81" s="10" t="s">
        <v>462</v>
      </c>
      <c r="F81" s="12">
        <v>5700</v>
      </c>
      <c r="G81" s="16">
        <v>0</v>
      </c>
      <c r="H81" s="14">
        <f>IF(A81="G",1,0)*G81</f>
        <v>0</v>
      </c>
      <c r="I81" s="14">
        <f>IF(A81="F",1,0)*G81</f>
        <v>0</v>
      </c>
      <c r="J81" s="17">
        <f>F81/C81</f>
        <v>301.58730158730162</v>
      </c>
      <c r="K81" s="18">
        <f>F81*G81</f>
        <v>0</v>
      </c>
      <c r="L81" s="14">
        <f>G81*C81</f>
        <v>0</v>
      </c>
    </row>
    <row r="82" spans="1:12" ht="16">
      <c r="A82" s="10" t="s">
        <v>0</v>
      </c>
      <c r="B82" s="11" t="s">
        <v>454</v>
      </c>
      <c r="C82" s="10">
        <v>23.5</v>
      </c>
      <c r="D82" s="10">
        <v>15</v>
      </c>
      <c r="E82" s="13" t="s">
        <v>455</v>
      </c>
      <c r="F82" s="12">
        <v>7100</v>
      </c>
      <c r="G82" s="16">
        <v>0</v>
      </c>
      <c r="H82" s="14">
        <f>IF(A82="G",1,0)*G82</f>
        <v>0</v>
      </c>
      <c r="I82" s="14">
        <f>IF(A82="F",1,0)*G82</f>
        <v>0</v>
      </c>
      <c r="J82" s="17">
        <f>F82/C82</f>
        <v>302.12765957446811</v>
      </c>
      <c r="K82" s="18">
        <f>F82*G82</f>
        <v>0</v>
      </c>
      <c r="L82" s="14">
        <f>G82*C82</f>
        <v>0</v>
      </c>
    </row>
    <row r="83" spans="1:12" ht="16">
      <c r="A83" s="10" t="s">
        <v>3</v>
      </c>
      <c r="B83" s="11" t="s">
        <v>569</v>
      </c>
      <c r="C83" s="10">
        <v>16.2</v>
      </c>
      <c r="D83" s="10">
        <v>14</v>
      </c>
      <c r="E83" s="10" t="s">
        <v>443</v>
      </c>
      <c r="F83" s="12">
        <v>4900</v>
      </c>
      <c r="G83" s="16">
        <v>0</v>
      </c>
      <c r="H83" s="14">
        <f>IF(A83="G",1,0)*G83</f>
        <v>0</v>
      </c>
      <c r="I83" s="14">
        <f>IF(A83="F",1,0)*G83</f>
        <v>0</v>
      </c>
      <c r="J83" s="17">
        <f>F83/C83</f>
        <v>302.46913580246917</v>
      </c>
      <c r="K83" s="18">
        <f>F83*G83</f>
        <v>0</v>
      </c>
      <c r="L83" s="14">
        <f>G83*C83</f>
        <v>0</v>
      </c>
    </row>
    <row r="84" spans="1:12" ht="16">
      <c r="A84" s="10" t="s">
        <v>0</v>
      </c>
      <c r="B84" s="11" t="s">
        <v>576</v>
      </c>
      <c r="C84" s="10">
        <v>16.2</v>
      </c>
      <c r="D84" s="10">
        <v>14</v>
      </c>
      <c r="E84" s="10" t="s">
        <v>494</v>
      </c>
      <c r="F84" s="12">
        <v>4900</v>
      </c>
      <c r="G84" s="16">
        <v>0</v>
      </c>
      <c r="H84" s="14">
        <f>IF(A84="G",1,0)*G84</f>
        <v>0</v>
      </c>
      <c r="I84" s="14">
        <f>IF(A84="F",1,0)*G84</f>
        <v>0</v>
      </c>
      <c r="J84" s="17">
        <f>F84/C84</f>
        <v>302.46913580246917</v>
      </c>
      <c r="K84" s="18">
        <f>F84*G84</f>
        <v>0</v>
      </c>
      <c r="L84" s="14">
        <f>G84*C84</f>
        <v>0</v>
      </c>
    </row>
    <row r="85" spans="1:12" ht="16">
      <c r="A85" s="10" t="s">
        <v>0</v>
      </c>
      <c r="B85" s="11" t="s">
        <v>432</v>
      </c>
      <c r="C85" s="10">
        <v>24.4</v>
      </c>
      <c r="D85" s="10">
        <v>12</v>
      </c>
      <c r="E85" s="10" t="s">
        <v>433</v>
      </c>
      <c r="F85" s="12">
        <v>7400</v>
      </c>
      <c r="G85" s="16">
        <v>0</v>
      </c>
      <c r="H85" s="14">
        <f>IF(A85="G",1,0)*G85</f>
        <v>0</v>
      </c>
      <c r="I85" s="14">
        <f>IF(A85="F",1,0)*G85</f>
        <v>0</v>
      </c>
      <c r="J85" s="17">
        <f>F85/C85</f>
        <v>303.27868852459017</v>
      </c>
      <c r="K85" s="18">
        <f>F85*G85</f>
        <v>0</v>
      </c>
      <c r="L85" s="14">
        <f>G85*C85</f>
        <v>0</v>
      </c>
    </row>
    <row r="86" spans="1:12" ht="16">
      <c r="A86" s="10" t="s">
        <v>3</v>
      </c>
      <c r="B86" s="11" t="s">
        <v>473</v>
      </c>
      <c r="C86" s="10">
        <v>21.7</v>
      </c>
      <c r="D86" s="10">
        <v>13</v>
      </c>
      <c r="E86" s="13" t="s">
        <v>422</v>
      </c>
      <c r="F86" s="12">
        <v>6600</v>
      </c>
      <c r="G86" s="16">
        <v>0</v>
      </c>
      <c r="H86" s="14">
        <f>IF(A86="G",1,0)*G86</f>
        <v>0</v>
      </c>
      <c r="I86" s="14">
        <f>IF(A86="F",1,0)*G86</f>
        <v>0</v>
      </c>
      <c r="J86" s="17">
        <f>F86/C86</f>
        <v>304.14746543778801</v>
      </c>
      <c r="K86" s="18">
        <f>F86*G86</f>
        <v>0</v>
      </c>
      <c r="L86" s="14">
        <f>G86*C86</f>
        <v>0</v>
      </c>
    </row>
    <row r="87" spans="1:12" ht="16">
      <c r="A87" s="10" t="s">
        <v>3</v>
      </c>
      <c r="B87" s="11" t="s">
        <v>537</v>
      </c>
      <c r="C87" s="10">
        <v>17.399999999999999</v>
      </c>
      <c r="D87" s="10">
        <v>14</v>
      </c>
      <c r="E87" s="10" t="s">
        <v>443</v>
      </c>
      <c r="F87" s="12">
        <v>5300</v>
      </c>
      <c r="G87" s="16">
        <v>0</v>
      </c>
      <c r="H87" s="14">
        <f>IF(A87="G",1,0)*G87</f>
        <v>0</v>
      </c>
      <c r="I87" s="14">
        <f>IF(A87="F",1,0)*G87</f>
        <v>0</v>
      </c>
      <c r="J87" s="17">
        <f>F87/C87</f>
        <v>304.59770114942529</v>
      </c>
      <c r="K87" s="18">
        <f>F87*G87</f>
        <v>0</v>
      </c>
      <c r="L87" s="14">
        <f>G87*C87</f>
        <v>0</v>
      </c>
    </row>
    <row r="88" spans="1:12" ht="16">
      <c r="A88" s="10" t="s">
        <v>3</v>
      </c>
      <c r="B88" s="11" t="s">
        <v>512</v>
      </c>
      <c r="C88" s="10">
        <v>18.7</v>
      </c>
      <c r="D88" s="10">
        <v>13</v>
      </c>
      <c r="E88" s="13" t="s">
        <v>447</v>
      </c>
      <c r="F88" s="12">
        <v>5700</v>
      </c>
      <c r="G88" s="16">
        <v>0</v>
      </c>
      <c r="H88" s="14">
        <f>IF(A88="G",1,0)*G88</f>
        <v>0</v>
      </c>
      <c r="I88" s="14">
        <f>IF(A88="F",1,0)*G88</f>
        <v>0</v>
      </c>
      <c r="J88" s="17">
        <f>F88/C88</f>
        <v>304.81283422459893</v>
      </c>
      <c r="K88" s="18">
        <f>F88*G88</f>
        <v>0</v>
      </c>
      <c r="L88" s="14">
        <f>G88*C88</f>
        <v>0</v>
      </c>
    </row>
    <row r="89" spans="1:12" ht="16">
      <c r="A89" s="10" t="s">
        <v>3</v>
      </c>
      <c r="B89" s="11" t="s">
        <v>441</v>
      </c>
      <c r="C89" s="10">
        <v>23.9</v>
      </c>
      <c r="D89" s="10">
        <v>14</v>
      </c>
      <c r="E89" s="10" t="s">
        <v>403</v>
      </c>
      <c r="F89" s="12">
        <v>7300</v>
      </c>
      <c r="G89" s="16">
        <v>0</v>
      </c>
      <c r="H89" s="14">
        <f>IF(A89="G",1,0)*G89</f>
        <v>0</v>
      </c>
      <c r="I89" s="14">
        <f>IF(A89="F",1,0)*G89</f>
        <v>0</v>
      </c>
      <c r="J89" s="17">
        <f>F89/C89</f>
        <v>305.43933054393307</v>
      </c>
      <c r="K89" s="18">
        <f>F89*G89</f>
        <v>0</v>
      </c>
      <c r="L89" s="14">
        <f>G89*C89</f>
        <v>0</v>
      </c>
    </row>
    <row r="90" spans="1:12" ht="16">
      <c r="A90" s="10" t="s">
        <v>3</v>
      </c>
      <c r="B90" s="11" t="s">
        <v>535</v>
      </c>
      <c r="C90" s="10">
        <v>17.3</v>
      </c>
      <c r="D90" s="10">
        <v>15</v>
      </c>
      <c r="E90" s="10" t="s">
        <v>416</v>
      </c>
      <c r="F90" s="12">
        <v>5300</v>
      </c>
      <c r="G90" s="16">
        <v>0</v>
      </c>
      <c r="H90" s="14">
        <f>IF(A90="G",1,0)*G90</f>
        <v>0</v>
      </c>
      <c r="I90" s="14">
        <f>IF(A90="F",1,0)*G90</f>
        <v>0</v>
      </c>
      <c r="J90" s="17">
        <f>F90/C90</f>
        <v>306.35838150289015</v>
      </c>
      <c r="K90" s="18">
        <f>F90*G90</f>
        <v>0</v>
      </c>
      <c r="L90" s="14">
        <f>G90*C90</f>
        <v>0</v>
      </c>
    </row>
    <row r="91" spans="1:12" ht="16">
      <c r="A91" s="10" t="s">
        <v>3</v>
      </c>
      <c r="B91" s="11" t="s">
        <v>541</v>
      </c>
      <c r="C91" s="10">
        <v>17.3</v>
      </c>
      <c r="D91" s="10">
        <v>7</v>
      </c>
      <c r="E91" s="10" t="s">
        <v>403</v>
      </c>
      <c r="F91" s="12">
        <v>5300</v>
      </c>
      <c r="G91" s="16">
        <v>0</v>
      </c>
      <c r="H91" s="14">
        <f>IF(A91="G",1,0)*G91</f>
        <v>0</v>
      </c>
      <c r="I91" s="14">
        <f>IF(A91="F",1,0)*G91</f>
        <v>0</v>
      </c>
      <c r="J91" s="17">
        <f>F91/C91</f>
        <v>306.35838150289015</v>
      </c>
      <c r="K91" s="18">
        <f>F91*G91</f>
        <v>0</v>
      </c>
      <c r="L91" s="14">
        <f>G91*C91</f>
        <v>0</v>
      </c>
    </row>
    <row r="92" spans="1:12" ht="16">
      <c r="A92" s="10" t="s">
        <v>0</v>
      </c>
      <c r="B92" s="11" t="s">
        <v>446</v>
      </c>
      <c r="C92" s="10">
        <v>23.5</v>
      </c>
      <c r="D92" s="10">
        <v>13</v>
      </c>
      <c r="E92" s="13" t="s">
        <v>447</v>
      </c>
      <c r="F92" s="12">
        <v>7200</v>
      </c>
      <c r="G92" s="16">
        <v>0</v>
      </c>
      <c r="H92" s="14">
        <f>IF(A92="G",1,0)*G92</f>
        <v>0</v>
      </c>
      <c r="I92" s="14">
        <f>IF(A92="F",1,0)*G92</f>
        <v>0</v>
      </c>
      <c r="J92" s="17">
        <f>F92/C92</f>
        <v>306.38297872340428</v>
      </c>
      <c r="K92" s="18">
        <f>F92*G92</f>
        <v>0</v>
      </c>
      <c r="L92" s="14">
        <f>G92*C92</f>
        <v>0</v>
      </c>
    </row>
    <row r="93" spans="1:12" ht="16">
      <c r="A93" s="10" t="s">
        <v>3</v>
      </c>
      <c r="B93" s="11" t="s">
        <v>477</v>
      </c>
      <c r="C93" s="10">
        <v>21.2</v>
      </c>
      <c r="D93" s="10">
        <v>14</v>
      </c>
      <c r="E93" s="13" t="s">
        <v>424</v>
      </c>
      <c r="F93" s="12">
        <v>6500</v>
      </c>
      <c r="G93" s="16">
        <v>0</v>
      </c>
      <c r="H93" s="14">
        <f>IF(A93="G",1,0)*G93</f>
        <v>0</v>
      </c>
      <c r="I93" s="14">
        <f>IF(A93="F",1,0)*G93</f>
        <v>0</v>
      </c>
      <c r="J93" s="17">
        <f>F93/C93</f>
        <v>306.6037735849057</v>
      </c>
      <c r="K93" s="18">
        <f>F93*G93</f>
        <v>0</v>
      </c>
      <c r="L93" s="14">
        <f>G93*C93</f>
        <v>0</v>
      </c>
    </row>
    <row r="94" spans="1:12" ht="16">
      <c r="A94" s="10" t="s">
        <v>0</v>
      </c>
      <c r="B94" s="11" t="s">
        <v>559</v>
      </c>
      <c r="C94" s="10">
        <v>16.3</v>
      </c>
      <c r="D94" s="10">
        <v>15</v>
      </c>
      <c r="E94" s="10" t="s">
        <v>410</v>
      </c>
      <c r="F94" s="12">
        <v>5000</v>
      </c>
      <c r="G94" s="16">
        <v>0</v>
      </c>
      <c r="H94" s="14">
        <f>IF(A94="G",1,0)*G94</f>
        <v>0</v>
      </c>
      <c r="I94" s="14">
        <f>IF(A94="F",1,0)*G94</f>
        <v>0</v>
      </c>
      <c r="J94" s="17">
        <f>F94/C94</f>
        <v>306.74846625766872</v>
      </c>
      <c r="K94" s="18">
        <f>F94*G94</f>
        <v>0</v>
      </c>
      <c r="L94" s="14">
        <f>G94*C94</f>
        <v>0</v>
      </c>
    </row>
    <row r="95" spans="1:12" ht="16">
      <c r="A95" s="10" t="s">
        <v>3</v>
      </c>
      <c r="B95" s="11" t="s">
        <v>507</v>
      </c>
      <c r="C95" s="10">
        <v>18.899999999999999</v>
      </c>
      <c r="D95" s="10">
        <v>13</v>
      </c>
      <c r="E95" s="10" t="s">
        <v>475</v>
      </c>
      <c r="F95" s="12">
        <v>5800</v>
      </c>
      <c r="G95" s="16">
        <v>0</v>
      </c>
      <c r="H95" s="14">
        <f>IF(A95="G",1,0)*G95</f>
        <v>0</v>
      </c>
      <c r="I95" s="14">
        <f>IF(A95="F",1,0)*G95</f>
        <v>0</v>
      </c>
      <c r="J95" s="17">
        <f>F95/C95</f>
        <v>306.87830687830689</v>
      </c>
      <c r="K95" s="18">
        <f>F95*G95</f>
        <v>0</v>
      </c>
      <c r="L95" s="14">
        <f>G95*C95</f>
        <v>0</v>
      </c>
    </row>
    <row r="96" spans="1:12" ht="16">
      <c r="A96" s="10" t="s">
        <v>0</v>
      </c>
      <c r="B96" s="11" t="s">
        <v>423</v>
      </c>
      <c r="C96" s="10">
        <v>24.7</v>
      </c>
      <c r="D96" s="10">
        <v>14</v>
      </c>
      <c r="E96" s="13" t="s">
        <v>424</v>
      </c>
      <c r="F96" s="12">
        <v>7600</v>
      </c>
      <c r="G96" s="16">
        <v>0</v>
      </c>
      <c r="H96" s="14">
        <f>IF(A96="G",1,0)*G96</f>
        <v>0</v>
      </c>
      <c r="I96" s="14">
        <f>IF(A96="F",1,0)*G96</f>
        <v>0</v>
      </c>
      <c r="J96" s="17">
        <f>F96/C96</f>
        <v>307.69230769230768</v>
      </c>
      <c r="K96" s="18">
        <f>F96*G96</f>
        <v>0</v>
      </c>
      <c r="L96" s="14">
        <f>G96*C96</f>
        <v>0</v>
      </c>
    </row>
    <row r="97" spans="1:12" ht="16">
      <c r="A97" s="10" t="s">
        <v>0</v>
      </c>
      <c r="B97" s="11" t="s">
        <v>461</v>
      </c>
      <c r="C97" s="10">
        <v>22.4</v>
      </c>
      <c r="D97" s="10">
        <v>14</v>
      </c>
      <c r="E97" s="10" t="s">
        <v>462</v>
      </c>
      <c r="F97" s="12">
        <v>6900</v>
      </c>
      <c r="G97" s="16">
        <v>0</v>
      </c>
      <c r="H97" s="14">
        <f>IF(A97="G",1,0)*G97</f>
        <v>0</v>
      </c>
      <c r="I97" s="14">
        <f>IF(A97="F",1,0)*G97</f>
        <v>0</v>
      </c>
      <c r="J97" s="17">
        <f>F97/C97</f>
        <v>308.03571428571428</v>
      </c>
      <c r="K97" s="18">
        <f>F97*G97</f>
        <v>0</v>
      </c>
      <c r="L97" s="14">
        <f>G97*C97</f>
        <v>0</v>
      </c>
    </row>
    <row r="98" spans="1:12" ht="16">
      <c r="A98" s="10" t="s">
        <v>3</v>
      </c>
      <c r="B98" s="11" t="s">
        <v>561</v>
      </c>
      <c r="C98" s="10">
        <v>16.2</v>
      </c>
      <c r="D98" s="10">
        <v>14</v>
      </c>
      <c r="E98" s="10" t="s">
        <v>479</v>
      </c>
      <c r="F98" s="12">
        <v>5000</v>
      </c>
      <c r="G98" s="16">
        <v>0</v>
      </c>
      <c r="H98" s="14">
        <f>IF(A98="G",1,0)*G98</f>
        <v>0</v>
      </c>
      <c r="I98" s="14">
        <f>IF(A98="F",1,0)*G98</f>
        <v>0</v>
      </c>
      <c r="J98" s="17">
        <f>F98/C98</f>
        <v>308.64197530864197</v>
      </c>
      <c r="K98" s="18">
        <f>F98*G98</f>
        <v>0</v>
      </c>
      <c r="L98" s="14">
        <f>G98*C98</f>
        <v>0</v>
      </c>
    </row>
    <row r="99" spans="1:12" ht="16">
      <c r="A99" s="10" t="s">
        <v>0</v>
      </c>
      <c r="B99" s="11" t="s">
        <v>480</v>
      </c>
      <c r="C99" s="10">
        <v>20.7</v>
      </c>
      <c r="D99" s="10">
        <v>13</v>
      </c>
      <c r="E99" s="13" t="s">
        <v>412</v>
      </c>
      <c r="F99" s="12">
        <v>6400</v>
      </c>
      <c r="G99" s="16">
        <v>0</v>
      </c>
      <c r="H99" s="14">
        <f>IF(A99="G",1,0)*G99</f>
        <v>0</v>
      </c>
      <c r="I99" s="14">
        <f>IF(A99="F",1,0)*G99</f>
        <v>0</v>
      </c>
      <c r="J99" s="17">
        <f>F99/C99</f>
        <v>309.17874396135267</v>
      </c>
      <c r="K99" s="18">
        <f>F99*G99</f>
        <v>0</v>
      </c>
      <c r="L99" s="14">
        <f>G99*C99</f>
        <v>0</v>
      </c>
    </row>
    <row r="100" spans="1:12" ht="16">
      <c r="A100" s="10" t="s">
        <v>0</v>
      </c>
      <c r="B100" s="11" t="s">
        <v>516</v>
      </c>
      <c r="C100" s="10">
        <v>18.399999999999999</v>
      </c>
      <c r="D100" s="10">
        <v>15</v>
      </c>
      <c r="E100" s="13" t="s">
        <v>460</v>
      </c>
      <c r="F100" s="12">
        <v>5700</v>
      </c>
      <c r="G100" s="16">
        <v>0</v>
      </c>
      <c r="H100" s="14">
        <f>IF(A100="G",1,0)*G100</f>
        <v>0</v>
      </c>
      <c r="I100" s="14">
        <f>IF(A100="F",1,0)*G100</f>
        <v>0</v>
      </c>
      <c r="J100" s="17">
        <f>F100/C100</f>
        <v>309.78260869565219</v>
      </c>
      <c r="K100" s="18">
        <f>F100*G100</f>
        <v>0</v>
      </c>
      <c r="L100" s="14">
        <f>G100*C100</f>
        <v>0</v>
      </c>
    </row>
    <row r="101" spans="1:12" ht="16">
      <c r="A101" s="10" t="s">
        <v>3</v>
      </c>
      <c r="B101" s="11" t="s">
        <v>628</v>
      </c>
      <c r="C101" s="10">
        <v>14.5</v>
      </c>
      <c r="D101" s="10">
        <v>14</v>
      </c>
      <c r="E101" s="10" t="s">
        <v>462</v>
      </c>
      <c r="F101" s="12">
        <v>4500</v>
      </c>
      <c r="G101" s="16">
        <v>0</v>
      </c>
      <c r="H101" s="14">
        <f>IF(A101="G",1,0)*G101</f>
        <v>0</v>
      </c>
      <c r="I101" s="14">
        <f>IF(A101="F",1,0)*G101</f>
        <v>0</v>
      </c>
      <c r="J101" s="17">
        <f>F101/C101</f>
        <v>310.34482758620692</v>
      </c>
      <c r="K101" s="18">
        <f>F101*G101</f>
        <v>0</v>
      </c>
      <c r="L101" s="14">
        <f>G101*C101</f>
        <v>0</v>
      </c>
    </row>
    <row r="102" spans="1:12" ht="16">
      <c r="A102" s="10" t="s">
        <v>0</v>
      </c>
      <c r="B102" s="11" t="s">
        <v>567</v>
      </c>
      <c r="C102" s="10">
        <v>16.100000000000001</v>
      </c>
      <c r="D102" s="10">
        <v>12</v>
      </c>
      <c r="E102" s="10" t="s">
        <v>433</v>
      </c>
      <c r="F102" s="12">
        <v>5000</v>
      </c>
      <c r="G102" s="16">
        <v>0</v>
      </c>
      <c r="H102" s="14">
        <f>IF(A102="G",1,0)*G102</f>
        <v>0</v>
      </c>
      <c r="I102" s="14">
        <f>IF(A102="F",1,0)*G102</f>
        <v>0</v>
      </c>
      <c r="J102" s="17">
        <f>F102/C102</f>
        <v>310.55900621118008</v>
      </c>
      <c r="K102" s="18">
        <f>F102*G102</f>
        <v>0</v>
      </c>
      <c r="L102" s="14">
        <f>G102*C102</f>
        <v>0</v>
      </c>
    </row>
    <row r="103" spans="1:12" ht="16">
      <c r="A103" s="10" t="s">
        <v>3</v>
      </c>
      <c r="B103" s="11" t="s">
        <v>415</v>
      </c>
      <c r="C103" s="10">
        <v>26.4</v>
      </c>
      <c r="D103" s="10">
        <v>15</v>
      </c>
      <c r="E103" s="10" t="s">
        <v>416</v>
      </c>
      <c r="F103" s="12">
        <v>8200</v>
      </c>
      <c r="G103" s="16">
        <v>0</v>
      </c>
      <c r="H103" s="14">
        <f>IF(A103="G",1,0)*G103</f>
        <v>0</v>
      </c>
      <c r="I103" s="14">
        <f>IF(A103="F",1,0)*G103</f>
        <v>0</v>
      </c>
      <c r="J103" s="17">
        <f>F103/C103</f>
        <v>310.60606060606062</v>
      </c>
      <c r="K103" s="18">
        <f>F103*G103</f>
        <v>0</v>
      </c>
      <c r="L103" s="14">
        <f>G103*C103</f>
        <v>0</v>
      </c>
    </row>
    <row r="104" spans="1:12" ht="16">
      <c r="A104" s="10" t="s">
        <v>0</v>
      </c>
      <c r="B104" s="11" t="s">
        <v>436</v>
      </c>
      <c r="C104" s="10">
        <v>23.8</v>
      </c>
      <c r="D104" s="10">
        <v>13</v>
      </c>
      <c r="E104" s="10" t="s">
        <v>437</v>
      </c>
      <c r="F104" s="12">
        <v>7400</v>
      </c>
      <c r="G104" s="16">
        <v>0</v>
      </c>
      <c r="H104" s="14">
        <f>IF(A104="G",1,0)*G104</f>
        <v>0</v>
      </c>
      <c r="I104" s="14">
        <f>IF(A104="F",1,0)*G104</f>
        <v>0</v>
      </c>
      <c r="J104" s="17">
        <f>F104/C104</f>
        <v>310.92436974789916</v>
      </c>
      <c r="K104" s="18">
        <f>F104*G104</f>
        <v>0</v>
      </c>
      <c r="L104" s="14">
        <f>G104*C104</f>
        <v>0</v>
      </c>
    </row>
    <row r="105" spans="1:12" ht="16">
      <c r="A105" s="10" t="s">
        <v>0</v>
      </c>
      <c r="B105" s="11" t="s">
        <v>511</v>
      </c>
      <c r="C105" s="10">
        <v>18.3</v>
      </c>
      <c r="D105" s="10">
        <v>15</v>
      </c>
      <c r="E105" s="10" t="s">
        <v>464</v>
      </c>
      <c r="F105" s="12">
        <v>5700</v>
      </c>
      <c r="G105" s="16">
        <v>0</v>
      </c>
      <c r="H105" s="14">
        <f>IF(A105="G",1,0)*G105</f>
        <v>0</v>
      </c>
      <c r="I105" s="14">
        <f>IF(A105="F",1,0)*G105</f>
        <v>0</v>
      </c>
      <c r="J105" s="17">
        <f>F105/C105</f>
        <v>311.47540983606558</v>
      </c>
      <c r="K105" s="18">
        <f>F105*G105</f>
        <v>0</v>
      </c>
      <c r="L105" s="14">
        <f>G105*C105</f>
        <v>0</v>
      </c>
    </row>
    <row r="106" spans="1:12" ht="16">
      <c r="A106" s="10" t="s">
        <v>0</v>
      </c>
      <c r="B106" s="11" t="s">
        <v>276</v>
      </c>
      <c r="C106" s="10">
        <v>23.9</v>
      </c>
      <c r="D106" s="10">
        <v>14</v>
      </c>
      <c r="E106" s="10" t="s">
        <v>409</v>
      </c>
      <c r="F106" s="12">
        <v>7500</v>
      </c>
      <c r="G106" s="16">
        <v>0</v>
      </c>
      <c r="H106" s="14">
        <f>IF(A106="G",1,0)*G106</f>
        <v>0</v>
      </c>
      <c r="I106" s="14">
        <f>IF(A106="F",1,0)*G106</f>
        <v>0</v>
      </c>
      <c r="J106" s="17">
        <f>F106/C106</f>
        <v>313.80753138075318</v>
      </c>
      <c r="K106" s="18">
        <f>F106*G106</f>
        <v>0</v>
      </c>
      <c r="L106" s="14">
        <f>G106*C106</f>
        <v>0</v>
      </c>
    </row>
    <row r="107" spans="1:12" ht="16">
      <c r="A107" s="10" t="s">
        <v>0</v>
      </c>
      <c r="B107" s="11" t="s">
        <v>495</v>
      </c>
      <c r="C107" s="10">
        <v>19.399999999999999</v>
      </c>
      <c r="D107" s="10">
        <v>13</v>
      </c>
      <c r="E107" s="10" t="s">
        <v>453</v>
      </c>
      <c r="F107" s="12">
        <v>6100</v>
      </c>
      <c r="G107" s="16">
        <v>0</v>
      </c>
      <c r="H107" s="14">
        <f>IF(A107="G",1,0)*G107</f>
        <v>0</v>
      </c>
      <c r="I107" s="14">
        <f>IF(A107="F",1,0)*G107</f>
        <v>0</v>
      </c>
      <c r="J107" s="17">
        <f>F107/C107</f>
        <v>314.43298969072168</v>
      </c>
      <c r="K107" s="18">
        <f>F107*G107</f>
        <v>0</v>
      </c>
      <c r="L107" s="14">
        <f>G107*C107</f>
        <v>0</v>
      </c>
    </row>
    <row r="108" spans="1:12" ht="16">
      <c r="A108" s="10" t="s">
        <v>3</v>
      </c>
      <c r="B108" s="11" t="s">
        <v>623</v>
      </c>
      <c r="C108" s="10">
        <v>14.3</v>
      </c>
      <c r="D108" s="10">
        <v>12</v>
      </c>
      <c r="E108" s="13" t="s">
        <v>435</v>
      </c>
      <c r="F108" s="12">
        <v>4500</v>
      </c>
      <c r="G108" s="16">
        <v>0</v>
      </c>
      <c r="H108" s="14">
        <f>IF(A108="G",1,0)*G108</f>
        <v>0</v>
      </c>
      <c r="I108" s="14">
        <f>IF(A108="F",1,0)*G108</f>
        <v>0</v>
      </c>
      <c r="J108" s="17">
        <f>F108/C108</f>
        <v>314.68531468531467</v>
      </c>
      <c r="K108" s="18">
        <f>F108*G108</f>
        <v>0</v>
      </c>
      <c r="L108" s="14">
        <f>G108*C108</f>
        <v>0</v>
      </c>
    </row>
    <row r="109" spans="1:12" ht="16">
      <c r="A109" s="10" t="s">
        <v>3</v>
      </c>
      <c r="B109" s="11" t="s">
        <v>564</v>
      </c>
      <c r="C109" s="10">
        <v>15.8</v>
      </c>
      <c r="D109" s="10">
        <v>13</v>
      </c>
      <c r="E109" s="10" t="s">
        <v>409</v>
      </c>
      <c r="F109" s="12">
        <v>5000</v>
      </c>
      <c r="G109" s="16">
        <v>0</v>
      </c>
      <c r="H109" s="14">
        <f>IF(A109="G",1,0)*G109</f>
        <v>0</v>
      </c>
      <c r="I109" s="14">
        <f>IF(A109="F",1,0)*G109</f>
        <v>0</v>
      </c>
      <c r="J109" s="17">
        <f>F109/C109</f>
        <v>316.45569620253161</v>
      </c>
      <c r="K109" s="18">
        <f>F109*G109</f>
        <v>0</v>
      </c>
      <c r="L109" s="14">
        <f>G109*C109</f>
        <v>0</v>
      </c>
    </row>
    <row r="110" spans="1:12" ht="16">
      <c r="A110" s="10" t="s">
        <v>3</v>
      </c>
      <c r="B110" s="11" t="s">
        <v>485</v>
      </c>
      <c r="C110" s="10">
        <v>19.899999999999999</v>
      </c>
      <c r="D110" s="10">
        <v>15</v>
      </c>
      <c r="E110" s="10" t="s">
        <v>401</v>
      </c>
      <c r="F110" s="12">
        <v>6300</v>
      </c>
      <c r="G110" s="16">
        <v>0</v>
      </c>
      <c r="H110" s="14">
        <f>IF(A110="G",1,0)*G110</f>
        <v>0</v>
      </c>
      <c r="I110" s="14">
        <f>IF(A110="F",1,0)*G110</f>
        <v>0</v>
      </c>
      <c r="J110" s="17">
        <f>F110/C110</f>
        <v>316.58291457286435</v>
      </c>
      <c r="K110" s="18">
        <f>F110*G110</f>
        <v>0</v>
      </c>
      <c r="L110" s="14">
        <f>G110*C110</f>
        <v>0</v>
      </c>
    </row>
    <row r="111" spans="1:12" ht="16">
      <c r="A111" s="10" t="s">
        <v>3</v>
      </c>
      <c r="B111" s="11" t="s">
        <v>483</v>
      </c>
      <c r="C111" s="10">
        <v>20.2</v>
      </c>
      <c r="D111" s="10">
        <v>14</v>
      </c>
      <c r="E111" s="13" t="s">
        <v>422</v>
      </c>
      <c r="F111" s="12">
        <v>6400</v>
      </c>
      <c r="G111" s="16">
        <v>0</v>
      </c>
      <c r="H111" s="14">
        <f>IF(A111="G",1,0)*G111</f>
        <v>0</v>
      </c>
      <c r="I111" s="14">
        <f>IF(A111="F",1,0)*G111</f>
        <v>0</v>
      </c>
      <c r="J111" s="17">
        <f>F111/C111</f>
        <v>316.83168316831683</v>
      </c>
      <c r="K111" s="18">
        <f>F111*G111</f>
        <v>0</v>
      </c>
      <c r="L111" s="14">
        <f>G111*C111</f>
        <v>0</v>
      </c>
    </row>
    <row r="112" spans="1:12" ht="16">
      <c r="A112" s="10" t="s">
        <v>3</v>
      </c>
      <c r="B112" s="11" t="s">
        <v>476</v>
      </c>
      <c r="C112" s="10">
        <v>20.399999999999999</v>
      </c>
      <c r="D112" s="10">
        <v>13</v>
      </c>
      <c r="E112" s="10" t="s">
        <v>475</v>
      </c>
      <c r="F112" s="12">
        <v>6500</v>
      </c>
      <c r="G112" s="16">
        <v>0</v>
      </c>
      <c r="H112" s="14">
        <f>IF(A112="G",1,0)*G112</f>
        <v>0</v>
      </c>
      <c r="I112" s="14">
        <f>IF(A112="F",1,0)*G112</f>
        <v>0</v>
      </c>
      <c r="J112" s="17">
        <f>F112/C112</f>
        <v>318.62745098039215</v>
      </c>
      <c r="K112" s="18">
        <f>F112*G112</f>
        <v>0</v>
      </c>
      <c r="L112" s="14">
        <f>G112*C112</f>
        <v>0</v>
      </c>
    </row>
    <row r="113" spans="1:12" ht="16">
      <c r="A113" s="10" t="s">
        <v>0</v>
      </c>
      <c r="B113" s="11" t="s">
        <v>465</v>
      </c>
      <c r="C113" s="10">
        <v>21.3</v>
      </c>
      <c r="D113" s="10">
        <v>15</v>
      </c>
      <c r="E113" s="13" t="s">
        <v>405</v>
      </c>
      <c r="F113" s="12">
        <v>6800</v>
      </c>
      <c r="G113" s="16">
        <v>0</v>
      </c>
      <c r="H113" s="14">
        <f>IF(A113="G",1,0)*G113</f>
        <v>0</v>
      </c>
      <c r="I113" s="14">
        <f>IF(A113="F",1,0)*G113</f>
        <v>0</v>
      </c>
      <c r="J113" s="17">
        <f>F113/C113</f>
        <v>319.24882629107981</v>
      </c>
      <c r="K113" s="18">
        <f>F113*G113</f>
        <v>0</v>
      </c>
      <c r="L113" s="14">
        <f>G113*C113</f>
        <v>0</v>
      </c>
    </row>
    <row r="114" spans="1:12" ht="16">
      <c r="A114" s="10" t="s">
        <v>0</v>
      </c>
      <c r="B114" s="11" t="s">
        <v>560</v>
      </c>
      <c r="C114" s="10">
        <v>15.6</v>
      </c>
      <c r="D114" s="10">
        <v>15</v>
      </c>
      <c r="E114" s="13" t="s">
        <v>418</v>
      </c>
      <c r="F114" s="12">
        <v>5000</v>
      </c>
      <c r="G114" s="16">
        <v>0</v>
      </c>
      <c r="H114" s="14">
        <f>IF(A114="G",1,0)*G114</f>
        <v>0</v>
      </c>
      <c r="I114" s="14">
        <f>IF(A114="F",1,0)*G114</f>
        <v>0</v>
      </c>
      <c r="J114" s="17">
        <f>F114/C114</f>
        <v>320.5128205128205</v>
      </c>
      <c r="K114" s="18">
        <f>F114*G114</f>
        <v>0</v>
      </c>
      <c r="L114" s="14">
        <f>G114*C114</f>
        <v>0</v>
      </c>
    </row>
    <row r="115" spans="1:12" ht="16">
      <c r="A115" s="10" t="s">
        <v>0</v>
      </c>
      <c r="B115" s="11" t="s">
        <v>543</v>
      </c>
      <c r="C115" s="10">
        <v>16.100000000000001</v>
      </c>
      <c r="D115" s="10">
        <v>13</v>
      </c>
      <c r="E115" s="13" t="s">
        <v>450</v>
      </c>
      <c r="F115" s="12">
        <v>5200</v>
      </c>
      <c r="G115" s="16">
        <v>0</v>
      </c>
      <c r="H115" s="14">
        <f>IF(A115="G",1,0)*G115</f>
        <v>0</v>
      </c>
      <c r="I115" s="14">
        <f>IF(A115="F",1,0)*G115</f>
        <v>0</v>
      </c>
      <c r="J115" s="17">
        <f>F115/C115</f>
        <v>322.98136645962728</v>
      </c>
      <c r="K115" s="18">
        <f>F115*G115</f>
        <v>0</v>
      </c>
      <c r="L115" s="14">
        <f>G115*C115</f>
        <v>0</v>
      </c>
    </row>
    <row r="116" spans="1:12" ht="16">
      <c r="A116" s="10" t="s">
        <v>3</v>
      </c>
      <c r="B116" s="11" t="s">
        <v>534</v>
      </c>
      <c r="C116" s="10">
        <v>16.600000000000001</v>
      </c>
      <c r="D116" s="10">
        <v>15</v>
      </c>
      <c r="E116" s="13" t="s">
        <v>460</v>
      </c>
      <c r="F116" s="12">
        <v>5400</v>
      </c>
      <c r="G116" s="16">
        <v>0</v>
      </c>
      <c r="H116" s="14">
        <f>IF(A116="G",1,0)*G116</f>
        <v>0</v>
      </c>
      <c r="I116" s="14">
        <f>IF(A116="F",1,0)*G116</f>
        <v>0</v>
      </c>
      <c r="J116" s="17">
        <f>F116/C116</f>
        <v>325.30120481927707</v>
      </c>
      <c r="K116" s="18">
        <f>F116*G116</f>
        <v>0</v>
      </c>
      <c r="L116" s="14">
        <f>G116*C116</f>
        <v>0</v>
      </c>
    </row>
    <row r="117" spans="1:12" ht="16">
      <c r="A117" s="10" t="s">
        <v>0</v>
      </c>
      <c r="B117" s="11" t="s">
        <v>525</v>
      </c>
      <c r="C117" s="10">
        <v>16.899999999999999</v>
      </c>
      <c r="D117" s="10">
        <v>15</v>
      </c>
      <c r="E117" s="10" t="s">
        <v>401</v>
      </c>
      <c r="F117" s="12">
        <v>5500</v>
      </c>
      <c r="G117" s="16">
        <v>0</v>
      </c>
      <c r="H117" s="14">
        <f>IF(A117="G",1,0)*G117</f>
        <v>0</v>
      </c>
      <c r="I117" s="14">
        <f>IF(A117="F",1,0)*G117</f>
        <v>0</v>
      </c>
      <c r="J117" s="17">
        <f>F117/C117</f>
        <v>325.44378698224853</v>
      </c>
      <c r="K117" s="18">
        <f>F117*G117</f>
        <v>0</v>
      </c>
      <c r="L117" s="14">
        <f>G117*C117</f>
        <v>0</v>
      </c>
    </row>
    <row r="118" spans="1:12" ht="16">
      <c r="A118" s="10" t="s">
        <v>0</v>
      </c>
      <c r="B118" s="11" t="s">
        <v>517</v>
      </c>
      <c r="C118" s="10">
        <v>17.5</v>
      </c>
      <c r="D118" s="10">
        <v>14</v>
      </c>
      <c r="E118" s="10" t="s">
        <v>494</v>
      </c>
      <c r="F118" s="12">
        <v>5700</v>
      </c>
      <c r="G118" s="16">
        <v>0</v>
      </c>
      <c r="H118" s="14">
        <f>IF(A118="G",1,0)*G118</f>
        <v>0</v>
      </c>
      <c r="I118" s="14">
        <f>IF(A118="F",1,0)*G118</f>
        <v>0</v>
      </c>
      <c r="J118" s="17">
        <f>F118/C118</f>
        <v>325.71428571428572</v>
      </c>
      <c r="K118" s="18">
        <f>F118*G118</f>
        <v>0</v>
      </c>
      <c r="L118" s="14">
        <f>G118*C118</f>
        <v>0</v>
      </c>
    </row>
    <row r="119" spans="1:12" ht="16">
      <c r="A119" s="10" t="s">
        <v>0</v>
      </c>
      <c r="B119" s="11" t="s">
        <v>439</v>
      </c>
      <c r="C119" s="10">
        <v>22.4</v>
      </c>
      <c r="D119" s="10">
        <v>14</v>
      </c>
      <c r="E119" s="13" t="s">
        <v>440</v>
      </c>
      <c r="F119" s="12">
        <v>7300</v>
      </c>
      <c r="G119" s="16">
        <v>0</v>
      </c>
      <c r="H119" s="14">
        <f>IF(A119="G",1,0)*G119</f>
        <v>0</v>
      </c>
      <c r="I119" s="14">
        <f>IF(A119="F",1,0)*G119</f>
        <v>0</v>
      </c>
      <c r="J119" s="17">
        <f>F119/C119</f>
        <v>325.89285714285717</v>
      </c>
      <c r="K119" s="18">
        <f>F119*G119</f>
        <v>0</v>
      </c>
      <c r="L119" s="14">
        <f>G119*C119</f>
        <v>0</v>
      </c>
    </row>
    <row r="120" spans="1:12" ht="16">
      <c r="A120" s="10" t="s">
        <v>3</v>
      </c>
      <c r="B120" s="11" t="s">
        <v>632</v>
      </c>
      <c r="C120" s="10">
        <v>13.8</v>
      </c>
      <c r="D120" s="10">
        <v>12</v>
      </c>
      <c r="E120" s="10" t="s">
        <v>433</v>
      </c>
      <c r="F120" s="12">
        <v>4500</v>
      </c>
      <c r="G120" s="16">
        <v>0</v>
      </c>
      <c r="H120" s="14">
        <f>IF(A120="G",1,0)*G120</f>
        <v>0</v>
      </c>
      <c r="I120" s="14">
        <f>IF(A120="F",1,0)*G120</f>
        <v>0</v>
      </c>
      <c r="J120" s="17">
        <f>F120/C120</f>
        <v>326.08695652173913</v>
      </c>
      <c r="K120" s="18">
        <f>F120*G120</f>
        <v>0</v>
      </c>
      <c r="L120" s="14">
        <f>G120*C120</f>
        <v>0</v>
      </c>
    </row>
    <row r="121" spans="1:12" ht="16">
      <c r="A121" s="10" t="s">
        <v>3</v>
      </c>
      <c r="B121" s="11" t="s">
        <v>500</v>
      </c>
      <c r="C121" s="10">
        <v>18.399999999999999</v>
      </c>
      <c r="D121" s="10">
        <v>14</v>
      </c>
      <c r="E121" s="13" t="s">
        <v>440</v>
      </c>
      <c r="F121" s="12">
        <v>6000</v>
      </c>
      <c r="G121" s="16">
        <v>0</v>
      </c>
      <c r="H121" s="14">
        <f>IF(A121="G",1,0)*G121</f>
        <v>0</v>
      </c>
      <c r="I121" s="14">
        <f>IF(A121="F",1,0)*G121</f>
        <v>0</v>
      </c>
      <c r="J121" s="17">
        <f>F121/C121</f>
        <v>326.08695652173918</v>
      </c>
      <c r="K121" s="18">
        <f>F121*G121</f>
        <v>0</v>
      </c>
      <c r="L121" s="14">
        <f>G121*C121</f>
        <v>0</v>
      </c>
    </row>
    <row r="122" spans="1:12" ht="16">
      <c r="A122" s="10" t="s">
        <v>0</v>
      </c>
      <c r="B122" s="11" t="s">
        <v>573</v>
      </c>
      <c r="C122" s="10">
        <v>15</v>
      </c>
      <c r="D122" s="10">
        <v>14</v>
      </c>
      <c r="E122" s="13" t="s">
        <v>424</v>
      </c>
      <c r="F122" s="12">
        <v>4900</v>
      </c>
      <c r="G122" s="16">
        <v>0</v>
      </c>
      <c r="H122" s="14">
        <f>IF(A122="G",1,0)*G122</f>
        <v>0</v>
      </c>
      <c r="I122" s="14">
        <f>IF(A122="F",1,0)*G122</f>
        <v>0</v>
      </c>
      <c r="J122" s="17">
        <f>F122/C122</f>
        <v>326.66666666666669</v>
      </c>
      <c r="K122" s="18">
        <f>F122*G122</f>
        <v>0</v>
      </c>
      <c r="L122" s="14">
        <f>G122*C122</f>
        <v>0</v>
      </c>
    </row>
    <row r="123" spans="1:12" ht="16">
      <c r="A123" s="10" t="s">
        <v>0</v>
      </c>
      <c r="B123" s="11" t="s">
        <v>501</v>
      </c>
      <c r="C123" s="10">
        <v>18</v>
      </c>
      <c r="D123" s="10">
        <v>15</v>
      </c>
      <c r="E123" s="13" t="s">
        <v>460</v>
      </c>
      <c r="F123" s="12">
        <v>5900</v>
      </c>
      <c r="G123" s="16">
        <v>0</v>
      </c>
      <c r="H123" s="14">
        <f>IF(A123="G",1,0)*G123</f>
        <v>0</v>
      </c>
      <c r="I123" s="14">
        <f>IF(A123="F",1,0)*G123</f>
        <v>0</v>
      </c>
      <c r="J123" s="17">
        <f>F123/C123</f>
        <v>327.77777777777777</v>
      </c>
      <c r="K123" s="18">
        <f>F123*G123</f>
        <v>0</v>
      </c>
      <c r="L123" s="14">
        <f>G123*C123</f>
        <v>0</v>
      </c>
    </row>
    <row r="124" spans="1:12" ht="16">
      <c r="A124" s="10" t="s">
        <v>3</v>
      </c>
      <c r="B124" s="11" t="s">
        <v>589</v>
      </c>
      <c r="C124" s="10">
        <v>14.3</v>
      </c>
      <c r="D124" s="10">
        <v>15</v>
      </c>
      <c r="E124" s="10" t="s">
        <v>464</v>
      </c>
      <c r="F124" s="12">
        <v>4700</v>
      </c>
      <c r="G124" s="16">
        <v>0</v>
      </c>
      <c r="H124" s="14">
        <f>IF(A124="G",1,0)*G124</f>
        <v>0</v>
      </c>
      <c r="I124" s="14">
        <f>IF(A124="F",1,0)*G124</f>
        <v>0</v>
      </c>
      <c r="J124" s="17">
        <f>F124/C124</f>
        <v>328.67132867132864</v>
      </c>
      <c r="K124" s="18">
        <f>F124*G124</f>
        <v>0</v>
      </c>
      <c r="L124" s="14">
        <f>G124*C124</f>
        <v>0</v>
      </c>
    </row>
    <row r="125" spans="1:12" ht="16">
      <c r="A125" s="10" t="s">
        <v>0</v>
      </c>
      <c r="B125" s="11" t="s">
        <v>546</v>
      </c>
      <c r="C125" s="10">
        <v>15.8</v>
      </c>
      <c r="D125" s="10">
        <v>15</v>
      </c>
      <c r="E125" s="13" t="s">
        <v>455</v>
      </c>
      <c r="F125" s="12">
        <v>5200</v>
      </c>
      <c r="G125" s="16">
        <v>0</v>
      </c>
      <c r="H125" s="14">
        <f>IF(A125="G",1,0)*G125</f>
        <v>0</v>
      </c>
      <c r="I125" s="14">
        <f>IF(A125="F",1,0)*G125</f>
        <v>0</v>
      </c>
      <c r="J125" s="17">
        <f>F125/C125</f>
        <v>329.11392405063287</v>
      </c>
      <c r="K125" s="18">
        <f>F125*G125</f>
        <v>0</v>
      </c>
      <c r="L125" s="14">
        <f>G125*C125</f>
        <v>0</v>
      </c>
    </row>
    <row r="126" spans="1:12" ht="16">
      <c r="A126" s="10" t="s">
        <v>0</v>
      </c>
      <c r="B126" s="11" t="s">
        <v>509</v>
      </c>
      <c r="C126" s="10">
        <v>17.600000000000001</v>
      </c>
      <c r="D126" s="10">
        <v>12</v>
      </c>
      <c r="E126" s="13" t="s">
        <v>414</v>
      </c>
      <c r="F126" s="12">
        <v>5800</v>
      </c>
      <c r="G126" s="16">
        <v>0</v>
      </c>
      <c r="H126" s="14">
        <f>IF(A126="G",1,0)*G126</f>
        <v>0</v>
      </c>
      <c r="I126" s="14">
        <f>IF(A126="F",1,0)*G126</f>
        <v>0</v>
      </c>
      <c r="J126" s="17">
        <f>F126/C126</f>
        <v>329.5454545454545</v>
      </c>
      <c r="K126" s="18">
        <f>F126*G126</f>
        <v>0</v>
      </c>
      <c r="L126" s="14">
        <f>G126*C126</f>
        <v>0</v>
      </c>
    </row>
    <row r="127" spans="1:12" ht="16">
      <c r="A127" s="10" t="s">
        <v>0</v>
      </c>
      <c r="B127" s="11" t="s">
        <v>599</v>
      </c>
      <c r="C127" s="10">
        <v>13.9</v>
      </c>
      <c r="D127" s="10">
        <v>15</v>
      </c>
      <c r="E127" s="13" t="s">
        <v>405</v>
      </c>
      <c r="F127" s="12">
        <v>4600</v>
      </c>
      <c r="G127" s="16">
        <v>0</v>
      </c>
      <c r="H127" s="14">
        <f>IF(A127="G",1,0)*G127</f>
        <v>0</v>
      </c>
      <c r="I127" s="14">
        <f>IF(A127="F",1,0)*G127</f>
        <v>0</v>
      </c>
      <c r="J127" s="17">
        <f>F127/C127</f>
        <v>330.93525179856113</v>
      </c>
      <c r="K127" s="18">
        <f>F127*G127</f>
        <v>0</v>
      </c>
      <c r="L127" s="14">
        <f>G127*C127</f>
        <v>0</v>
      </c>
    </row>
    <row r="128" spans="1:12" ht="16">
      <c r="A128" s="10" t="s">
        <v>0</v>
      </c>
      <c r="B128" s="11" t="s">
        <v>584</v>
      </c>
      <c r="C128" s="10">
        <v>14.5</v>
      </c>
      <c r="D128" s="10">
        <v>14</v>
      </c>
      <c r="E128" s="10" t="s">
        <v>494</v>
      </c>
      <c r="F128" s="12">
        <v>4800</v>
      </c>
      <c r="G128" s="16">
        <v>0</v>
      </c>
      <c r="H128" s="14">
        <f>IF(A128="G",1,0)*G128</f>
        <v>0</v>
      </c>
      <c r="I128" s="14">
        <f>IF(A128="F",1,0)*G128</f>
        <v>0</v>
      </c>
      <c r="J128" s="17">
        <f>F128/C128</f>
        <v>331.0344827586207</v>
      </c>
      <c r="K128" s="18">
        <f>F128*G128</f>
        <v>0</v>
      </c>
      <c r="L128" s="14">
        <f>G128*C128</f>
        <v>0</v>
      </c>
    </row>
    <row r="129" spans="1:12" ht="16">
      <c r="A129" s="10" t="s">
        <v>0</v>
      </c>
      <c r="B129" s="11" t="s">
        <v>548</v>
      </c>
      <c r="C129" s="10">
        <v>15.7</v>
      </c>
      <c r="D129" s="10">
        <v>14</v>
      </c>
      <c r="E129" s="10" t="s">
        <v>443</v>
      </c>
      <c r="F129" s="12">
        <v>5200</v>
      </c>
      <c r="G129" s="16">
        <v>0</v>
      </c>
      <c r="H129" s="14">
        <f>IF(A129="G",1,0)*G129</f>
        <v>0</v>
      </c>
      <c r="I129" s="14">
        <f>IF(A129="F",1,0)*G129</f>
        <v>0</v>
      </c>
      <c r="J129" s="17">
        <f>F129/C129</f>
        <v>331.21019108280257</v>
      </c>
      <c r="K129" s="18">
        <f>F129*G129</f>
        <v>0</v>
      </c>
      <c r="L129" s="14">
        <f>G129*C129</f>
        <v>0</v>
      </c>
    </row>
    <row r="130" spans="1:12" ht="16">
      <c r="A130" s="10" t="s">
        <v>3</v>
      </c>
      <c r="B130" s="11" t="s">
        <v>533</v>
      </c>
      <c r="C130" s="10">
        <v>16.3</v>
      </c>
      <c r="D130" s="10">
        <v>13</v>
      </c>
      <c r="E130" s="10" t="s">
        <v>475</v>
      </c>
      <c r="F130" s="12">
        <v>5400</v>
      </c>
      <c r="G130" s="16">
        <v>0</v>
      </c>
      <c r="H130" s="14">
        <f>IF(A130="G",1,0)*G130</f>
        <v>0</v>
      </c>
      <c r="I130" s="14">
        <f>IF(A130="F",1,0)*G130</f>
        <v>0</v>
      </c>
      <c r="J130" s="17">
        <f>F130/C130</f>
        <v>331.28834355828218</v>
      </c>
      <c r="K130" s="18">
        <f>F130*G130</f>
        <v>0</v>
      </c>
      <c r="L130" s="14">
        <f>G130*C130</f>
        <v>0</v>
      </c>
    </row>
    <row r="131" spans="1:12" ht="16">
      <c r="A131" s="10" t="s">
        <v>0</v>
      </c>
      <c r="B131" s="11" t="s">
        <v>514</v>
      </c>
      <c r="C131" s="10">
        <v>17.2</v>
      </c>
      <c r="D131" s="10">
        <v>13</v>
      </c>
      <c r="E131" s="13" t="s">
        <v>450</v>
      </c>
      <c r="F131" s="12">
        <v>5700</v>
      </c>
      <c r="G131" s="16">
        <v>0</v>
      </c>
      <c r="H131" s="14">
        <f>IF(A131="G",1,0)*G131</f>
        <v>0</v>
      </c>
      <c r="I131" s="14">
        <f>IF(A131="F",1,0)*G131</f>
        <v>0</v>
      </c>
      <c r="J131" s="17">
        <f>F131/C131</f>
        <v>331.39534883720933</v>
      </c>
      <c r="K131" s="18">
        <f>F131*G131</f>
        <v>0</v>
      </c>
      <c r="L131" s="14">
        <f>G131*C131</f>
        <v>0</v>
      </c>
    </row>
    <row r="132" spans="1:12" ht="16">
      <c r="A132" s="10" t="s">
        <v>0</v>
      </c>
      <c r="B132" s="11" t="s">
        <v>544</v>
      </c>
      <c r="C132" s="10">
        <v>15.6</v>
      </c>
      <c r="D132" s="10">
        <v>12</v>
      </c>
      <c r="E132" s="10" t="s">
        <v>416</v>
      </c>
      <c r="F132" s="12">
        <v>5200</v>
      </c>
      <c r="G132" s="16">
        <v>0</v>
      </c>
      <c r="H132" s="14">
        <f>IF(A132="G",1,0)*G132</f>
        <v>0</v>
      </c>
      <c r="I132" s="14">
        <f>IF(A132="F",1,0)*G132</f>
        <v>0</v>
      </c>
      <c r="J132" s="17">
        <f>F132/C132</f>
        <v>333.33333333333331</v>
      </c>
      <c r="K132" s="18">
        <f>F132*G132</f>
        <v>0</v>
      </c>
      <c r="L132" s="14">
        <f>G132*C132</f>
        <v>0</v>
      </c>
    </row>
    <row r="133" spans="1:12" ht="16">
      <c r="A133" s="10" t="s">
        <v>0</v>
      </c>
      <c r="B133" s="11" t="s">
        <v>583</v>
      </c>
      <c r="C133" s="10">
        <v>14.4</v>
      </c>
      <c r="D133" s="10">
        <v>15</v>
      </c>
      <c r="E133" s="10" t="s">
        <v>401</v>
      </c>
      <c r="F133" s="12">
        <v>4800</v>
      </c>
      <c r="G133" s="16">
        <v>0</v>
      </c>
      <c r="H133" s="14">
        <f>IF(A133="G",1,0)*G133</f>
        <v>0</v>
      </c>
      <c r="I133" s="14">
        <f>IF(A133="F",1,0)*G133</f>
        <v>0</v>
      </c>
      <c r="J133" s="17">
        <f>F133/C133</f>
        <v>333.33333333333331</v>
      </c>
      <c r="K133" s="18">
        <f>F133*G133</f>
        <v>0</v>
      </c>
      <c r="L133" s="14">
        <f>G133*C133</f>
        <v>0</v>
      </c>
    </row>
    <row r="134" spans="1:12" ht="16">
      <c r="A134" s="10" t="s">
        <v>3</v>
      </c>
      <c r="B134" s="11" t="s">
        <v>493</v>
      </c>
      <c r="C134" s="10">
        <v>18.2</v>
      </c>
      <c r="D134" s="10">
        <v>14</v>
      </c>
      <c r="E134" s="10" t="s">
        <v>494</v>
      </c>
      <c r="F134" s="12">
        <v>6100</v>
      </c>
      <c r="G134" s="16">
        <v>0</v>
      </c>
      <c r="H134" s="14">
        <f>IF(A134="G",1,0)*G134</f>
        <v>0</v>
      </c>
      <c r="I134" s="14">
        <f>IF(A134="F",1,0)*G134</f>
        <v>0</v>
      </c>
      <c r="J134" s="17">
        <f>F134/C134</f>
        <v>335.16483516483515</v>
      </c>
      <c r="K134" s="18">
        <f>F134*G134</f>
        <v>0</v>
      </c>
      <c r="L134" s="14">
        <f>G134*C134</f>
        <v>0</v>
      </c>
    </row>
    <row r="135" spans="1:12" ht="16">
      <c r="A135" s="10" t="s">
        <v>3</v>
      </c>
      <c r="B135" s="11" t="s">
        <v>612</v>
      </c>
      <c r="C135" s="10">
        <v>13.4</v>
      </c>
      <c r="D135" s="10">
        <v>14</v>
      </c>
      <c r="E135" s="10" t="s">
        <v>403</v>
      </c>
      <c r="F135" s="12">
        <v>4500</v>
      </c>
      <c r="G135" s="16">
        <v>0</v>
      </c>
      <c r="H135" s="14">
        <f>IF(A135="G",1,0)*G135</f>
        <v>0</v>
      </c>
      <c r="I135" s="14">
        <f>IF(A135="F",1,0)*G135</f>
        <v>0</v>
      </c>
      <c r="J135" s="17">
        <f>F135/C135</f>
        <v>335.82089552238807</v>
      </c>
      <c r="K135" s="18">
        <f>F135*G135</f>
        <v>0</v>
      </c>
      <c r="L135" s="14">
        <f>G135*C135</f>
        <v>0</v>
      </c>
    </row>
    <row r="136" spans="1:12" ht="16">
      <c r="A136" s="10" t="s">
        <v>0</v>
      </c>
      <c r="B136" s="11" t="s">
        <v>492</v>
      </c>
      <c r="C136" s="10">
        <v>18.100000000000001</v>
      </c>
      <c r="D136" s="10">
        <v>14</v>
      </c>
      <c r="E136" s="13" t="s">
        <v>412</v>
      </c>
      <c r="F136" s="12">
        <v>6100</v>
      </c>
      <c r="G136" s="16">
        <v>0</v>
      </c>
      <c r="H136" s="14">
        <f>IF(A136="G",1,0)*G136</f>
        <v>0</v>
      </c>
      <c r="I136" s="14">
        <f>IF(A136="F",1,0)*G136</f>
        <v>0</v>
      </c>
      <c r="J136" s="17">
        <f>F136/C136</f>
        <v>337.01657458563534</v>
      </c>
      <c r="K136" s="18">
        <f>F136*G136</f>
        <v>0</v>
      </c>
      <c r="L136" s="14">
        <f>G136*C136</f>
        <v>0</v>
      </c>
    </row>
    <row r="137" spans="1:12" ht="16">
      <c r="A137" s="10" t="s">
        <v>3</v>
      </c>
      <c r="B137" s="11" t="s">
        <v>595</v>
      </c>
      <c r="C137" s="10">
        <v>13.6</v>
      </c>
      <c r="D137" s="10">
        <v>15</v>
      </c>
      <c r="E137" s="13" t="s">
        <v>455</v>
      </c>
      <c r="F137" s="12">
        <v>4600</v>
      </c>
      <c r="G137" s="16">
        <v>0</v>
      </c>
      <c r="H137" s="14">
        <f>IF(A137="G",1,0)*G137</f>
        <v>0</v>
      </c>
      <c r="I137" s="14">
        <f>IF(A137="F",1,0)*G137</f>
        <v>0</v>
      </c>
      <c r="J137" s="17">
        <f>F137/C137</f>
        <v>338.23529411764707</v>
      </c>
      <c r="K137" s="18">
        <f>F137*G137</f>
        <v>0</v>
      </c>
      <c r="L137" s="14">
        <f>G137*C137</f>
        <v>0</v>
      </c>
    </row>
    <row r="138" spans="1:12" ht="16">
      <c r="A138" s="10" t="s">
        <v>3</v>
      </c>
      <c r="B138" s="11" t="s">
        <v>621</v>
      </c>
      <c r="C138" s="10">
        <v>13.3</v>
      </c>
      <c r="D138" s="10">
        <v>15</v>
      </c>
      <c r="E138" s="13" t="s">
        <v>405</v>
      </c>
      <c r="F138" s="12">
        <v>4500</v>
      </c>
      <c r="G138" s="16">
        <v>0</v>
      </c>
      <c r="H138" s="14">
        <f>IF(A138="G",1,0)*G138</f>
        <v>0</v>
      </c>
      <c r="I138" s="14">
        <f>IF(A138="F",1,0)*G138</f>
        <v>0</v>
      </c>
      <c r="J138" s="17">
        <f>F138/C138</f>
        <v>338.3458646616541</v>
      </c>
      <c r="K138" s="18">
        <f>F138*G138</f>
        <v>0</v>
      </c>
      <c r="L138" s="14">
        <f>G138*C138</f>
        <v>0</v>
      </c>
    </row>
    <row r="139" spans="1:12" ht="16">
      <c r="A139" s="10" t="s">
        <v>0</v>
      </c>
      <c r="B139" s="11" t="s">
        <v>590</v>
      </c>
      <c r="C139" s="10">
        <v>13.8</v>
      </c>
      <c r="D139" s="10">
        <v>12</v>
      </c>
      <c r="E139" s="10" t="s">
        <v>437</v>
      </c>
      <c r="F139" s="12">
        <v>4700</v>
      </c>
      <c r="G139" s="16">
        <v>0</v>
      </c>
      <c r="H139" s="14">
        <f>IF(A139="G",1,0)*G139</f>
        <v>0</v>
      </c>
      <c r="I139" s="14">
        <f>IF(A139="F",1,0)*G139</f>
        <v>0</v>
      </c>
      <c r="J139" s="17">
        <f>F139/C139</f>
        <v>340.5797101449275</v>
      </c>
      <c r="K139" s="18">
        <f>F139*G139</f>
        <v>0</v>
      </c>
      <c r="L139" s="14">
        <f>G139*C139</f>
        <v>0</v>
      </c>
    </row>
    <row r="140" spans="1:12" ht="16">
      <c r="A140" s="10" t="s">
        <v>0</v>
      </c>
      <c r="B140" s="11" t="s">
        <v>508</v>
      </c>
      <c r="C140" s="10">
        <v>17</v>
      </c>
      <c r="D140" s="10">
        <v>13</v>
      </c>
      <c r="E140" s="13" t="s">
        <v>447</v>
      </c>
      <c r="F140" s="12">
        <v>5800</v>
      </c>
      <c r="G140" s="16">
        <v>0</v>
      </c>
      <c r="H140" s="14">
        <f>IF(A140="G",1,0)*G140</f>
        <v>0</v>
      </c>
      <c r="I140" s="14">
        <f>IF(A140="F",1,0)*G140</f>
        <v>0</v>
      </c>
      <c r="J140" s="17">
        <f>F140/C140</f>
        <v>341.1764705882353</v>
      </c>
      <c r="K140" s="18">
        <f>F140*G140</f>
        <v>0</v>
      </c>
      <c r="L140" s="14">
        <f>G140*C140</f>
        <v>0</v>
      </c>
    </row>
    <row r="141" spans="1:12" ht="16">
      <c r="A141" s="10" t="s">
        <v>3</v>
      </c>
      <c r="B141" s="11" t="s">
        <v>611</v>
      </c>
      <c r="C141" s="10">
        <v>13.1</v>
      </c>
      <c r="D141" s="10">
        <v>14</v>
      </c>
      <c r="E141" s="10" t="s">
        <v>416</v>
      </c>
      <c r="F141" s="12">
        <v>4500</v>
      </c>
      <c r="G141" s="16">
        <v>0</v>
      </c>
      <c r="H141" s="14">
        <f>IF(A141="G",1,0)*G141</f>
        <v>0</v>
      </c>
      <c r="I141" s="14">
        <f>IF(A141="F",1,0)*G141</f>
        <v>0</v>
      </c>
      <c r="J141" s="17">
        <f>F141/C141</f>
        <v>343.51145038167942</v>
      </c>
      <c r="K141" s="18">
        <f>F141*G141</f>
        <v>0</v>
      </c>
      <c r="L141" s="14">
        <f>G141*C141</f>
        <v>0</v>
      </c>
    </row>
    <row r="142" spans="1:12" ht="16">
      <c r="A142" s="10" t="s">
        <v>0</v>
      </c>
      <c r="B142" s="11" t="s">
        <v>580</v>
      </c>
      <c r="C142" s="10">
        <v>13.9</v>
      </c>
      <c r="D142" s="10">
        <v>15</v>
      </c>
      <c r="E142" s="10" t="s">
        <v>410</v>
      </c>
      <c r="F142" s="12">
        <v>4800</v>
      </c>
      <c r="G142" s="16">
        <v>0</v>
      </c>
      <c r="H142" s="14">
        <f>IF(A142="G",1,0)*G142</f>
        <v>0</v>
      </c>
      <c r="I142" s="14">
        <f>IF(A142="F",1,0)*G142</f>
        <v>0</v>
      </c>
      <c r="J142" s="17">
        <f>F142/C142</f>
        <v>345.32374100719426</v>
      </c>
      <c r="K142" s="18">
        <f>F142*G142</f>
        <v>0</v>
      </c>
      <c r="L142" s="14">
        <f>G142*C142</f>
        <v>0</v>
      </c>
    </row>
    <row r="143" spans="1:12" ht="16">
      <c r="A143" s="10" t="s">
        <v>3</v>
      </c>
      <c r="B143" s="11" t="s">
        <v>520</v>
      </c>
      <c r="C143" s="10">
        <v>16.100000000000001</v>
      </c>
      <c r="D143" s="10">
        <v>15</v>
      </c>
      <c r="E143" s="13" t="s">
        <v>420</v>
      </c>
      <c r="F143" s="12">
        <v>5600</v>
      </c>
      <c r="G143" s="16">
        <v>0</v>
      </c>
      <c r="H143" s="14">
        <f>IF(A143="G",1,0)*G143</f>
        <v>0</v>
      </c>
      <c r="I143" s="14">
        <f>IF(A143="F",1,0)*G143</f>
        <v>0</v>
      </c>
      <c r="J143" s="17">
        <f>F143/C143</f>
        <v>347.82608695652169</v>
      </c>
      <c r="K143" s="18">
        <f>F143*G143</f>
        <v>0</v>
      </c>
      <c r="L143" s="14">
        <f>G143*C143</f>
        <v>0</v>
      </c>
    </row>
    <row r="144" spans="1:12" ht="16">
      <c r="A144" s="10" t="s">
        <v>0</v>
      </c>
      <c r="B144" s="11" t="s">
        <v>601</v>
      </c>
      <c r="C144" s="10">
        <v>13.2</v>
      </c>
      <c r="D144" s="10">
        <v>13</v>
      </c>
      <c r="E144" s="13" t="s">
        <v>447</v>
      </c>
      <c r="F144" s="12">
        <v>4600</v>
      </c>
      <c r="G144" s="16">
        <v>0</v>
      </c>
      <c r="H144" s="14">
        <f>IF(A144="G",1,0)*G144</f>
        <v>0</v>
      </c>
      <c r="I144" s="14">
        <f>IF(A144="F",1,0)*G144</f>
        <v>0</v>
      </c>
      <c r="J144" s="17">
        <f>F144/C144</f>
        <v>348.4848484848485</v>
      </c>
      <c r="K144" s="18">
        <f>F144*G144</f>
        <v>0</v>
      </c>
      <c r="L144" s="14">
        <f>G144*C144</f>
        <v>0</v>
      </c>
    </row>
    <row r="145" spans="1:12" ht="16">
      <c r="A145" s="10" t="s">
        <v>3</v>
      </c>
      <c r="B145" s="11" t="s">
        <v>452</v>
      </c>
      <c r="C145" s="10">
        <v>20.3</v>
      </c>
      <c r="D145" s="10">
        <v>11</v>
      </c>
      <c r="E145" s="10" t="s">
        <v>453</v>
      </c>
      <c r="F145" s="12">
        <v>7100</v>
      </c>
      <c r="G145" s="16">
        <v>0</v>
      </c>
      <c r="H145" s="14">
        <f>IF(A145="G",1,0)*G145</f>
        <v>0</v>
      </c>
      <c r="I145" s="14">
        <f>IF(A145="F",1,0)*G145</f>
        <v>0</v>
      </c>
      <c r="J145" s="17">
        <f>F145/C145</f>
        <v>349.7536945812808</v>
      </c>
      <c r="K145" s="18">
        <f>F145*G145</f>
        <v>0</v>
      </c>
      <c r="L145" s="14">
        <f>G145*C145</f>
        <v>0</v>
      </c>
    </row>
    <row r="146" spans="1:12" ht="16">
      <c r="A146" s="10" t="s">
        <v>0</v>
      </c>
      <c r="B146" s="11" t="s">
        <v>522</v>
      </c>
      <c r="C146" s="10">
        <v>16</v>
      </c>
      <c r="D146" s="10">
        <v>14</v>
      </c>
      <c r="E146" s="13" t="s">
        <v>440</v>
      </c>
      <c r="F146" s="12">
        <v>5600</v>
      </c>
      <c r="G146" s="16">
        <v>0</v>
      </c>
      <c r="H146" s="14">
        <f>IF(A146="G",1,0)*G146</f>
        <v>0</v>
      </c>
      <c r="I146" s="14">
        <f>IF(A146="F",1,0)*G146</f>
        <v>0</v>
      </c>
      <c r="J146" s="17">
        <f>F146/C146</f>
        <v>350</v>
      </c>
      <c r="K146" s="18">
        <f>F146*G146</f>
        <v>0</v>
      </c>
      <c r="L146" s="14">
        <f>G146*C146</f>
        <v>0</v>
      </c>
    </row>
    <row r="147" spans="1:12" ht="16">
      <c r="A147" s="10" t="s">
        <v>0</v>
      </c>
      <c r="B147" s="11" t="s">
        <v>581</v>
      </c>
      <c r="C147" s="10">
        <v>13.7</v>
      </c>
      <c r="D147" s="10">
        <v>15</v>
      </c>
      <c r="E147" s="10" t="s">
        <v>410</v>
      </c>
      <c r="F147" s="12">
        <v>4800</v>
      </c>
      <c r="G147" s="16">
        <v>0</v>
      </c>
      <c r="H147" s="14">
        <f>IF(A147="G",1,0)*G147</f>
        <v>0</v>
      </c>
      <c r="I147" s="14">
        <f>IF(A147="F",1,0)*G147</f>
        <v>0</v>
      </c>
      <c r="J147" s="17">
        <f>F147/C147</f>
        <v>350.36496350364968</v>
      </c>
      <c r="K147" s="18">
        <f>F147*G147</f>
        <v>0</v>
      </c>
      <c r="L147" s="14">
        <f>G147*C147</f>
        <v>0</v>
      </c>
    </row>
    <row r="148" spans="1:12" ht="16">
      <c r="A148" s="10" t="s">
        <v>0</v>
      </c>
      <c r="B148" s="11" t="s">
        <v>530</v>
      </c>
      <c r="C148" s="10">
        <v>15.4</v>
      </c>
      <c r="D148" s="10">
        <v>13</v>
      </c>
      <c r="E148" s="10" t="s">
        <v>443</v>
      </c>
      <c r="F148" s="12">
        <v>5400</v>
      </c>
      <c r="G148" s="16">
        <v>0</v>
      </c>
      <c r="H148" s="14">
        <f>IF(A148="G",1,0)*G148</f>
        <v>0</v>
      </c>
      <c r="I148" s="14">
        <f>IF(A148="F",1,0)*G148</f>
        <v>0</v>
      </c>
      <c r="J148" s="17">
        <f>F148/C148</f>
        <v>350.64935064935065</v>
      </c>
      <c r="K148" s="18">
        <f>F148*G148</f>
        <v>0</v>
      </c>
      <c r="L148" s="14">
        <f>G148*C148</f>
        <v>0</v>
      </c>
    </row>
    <row r="149" spans="1:12" ht="16">
      <c r="A149" s="10" t="s">
        <v>3</v>
      </c>
      <c r="B149" s="11" t="s">
        <v>588</v>
      </c>
      <c r="C149" s="10">
        <v>13.4</v>
      </c>
      <c r="D149" s="10">
        <v>14</v>
      </c>
      <c r="E149" s="13" t="s">
        <v>424</v>
      </c>
      <c r="F149" s="12">
        <v>4700</v>
      </c>
      <c r="G149" s="16">
        <v>0</v>
      </c>
      <c r="H149" s="14">
        <f>IF(A149="G",1,0)*G149</f>
        <v>0</v>
      </c>
      <c r="I149" s="14">
        <f>IF(A149="F",1,0)*G149</f>
        <v>0</v>
      </c>
      <c r="J149" s="17">
        <f>F149/C149</f>
        <v>350.74626865671638</v>
      </c>
      <c r="K149" s="18">
        <f>F149*G149</f>
        <v>0</v>
      </c>
      <c r="L149" s="14">
        <f>G149*C149</f>
        <v>0</v>
      </c>
    </row>
    <row r="150" spans="1:12" ht="16">
      <c r="A150" s="10" t="s">
        <v>3</v>
      </c>
      <c r="B150" s="11" t="s">
        <v>591</v>
      </c>
      <c r="C150" s="10">
        <v>13.3</v>
      </c>
      <c r="D150" s="10">
        <v>14</v>
      </c>
      <c r="E150" s="10" t="s">
        <v>462</v>
      </c>
      <c r="F150" s="12">
        <v>4700</v>
      </c>
      <c r="G150" s="16">
        <v>0</v>
      </c>
      <c r="H150" s="14">
        <f>IF(A150="G",1,0)*G150</f>
        <v>0</v>
      </c>
      <c r="I150" s="14">
        <f>IF(A150="F",1,0)*G150</f>
        <v>0</v>
      </c>
      <c r="J150" s="17">
        <f>F150/C150</f>
        <v>353.38345864661653</v>
      </c>
      <c r="K150" s="18">
        <f>F150*G150</f>
        <v>0</v>
      </c>
      <c r="L150" s="14">
        <f>G150*C150</f>
        <v>0</v>
      </c>
    </row>
    <row r="151" spans="1:12" ht="16">
      <c r="A151" s="10" t="s">
        <v>0</v>
      </c>
      <c r="B151" s="11" t="s">
        <v>600</v>
      </c>
      <c r="C151" s="10">
        <v>13</v>
      </c>
      <c r="D151" s="10">
        <v>10</v>
      </c>
      <c r="E151" s="10" t="s">
        <v>403</v>
      </c>
      <c r="F151" s="12">
        <v>4600</v>
      </c>
      <c r="G151" s="16">
        <v>0</v>
      </c>
      <c r="H151" s="14">
        <f>IF(A151="G",1,0)*G151</f>
        <v>0</v>
      </c>
      <c r="I151" s="14">
        <f>IF(A151="F",1,0)*G151</f>
        <v>0</v>
      </c>
      <c r="J151" s="17">
        <f>F151/C151</f>
        <v>353.84615384615387</v>
      </c>
      <c r="K151" s="18">
        <f>F151*G151</f>
        <v>0</v>
      </c>
      <c r="L151" s="14">
        <f>G151*C151</f>
        <v>0</v>
      </c>
    </row>
    <row r="152" spans="1:12" ht="16">
      <c r="A152" s="10" t="s">
        <v>3</v>
      </c>
      <c r="B152" s="11" t="s">
        <v>558</v>
      </c>
      <c r="C152" s="10">
        <v>14.4</v>
      </c>
      <c r="D152" s="10">
        <v>15</v>
      </c>
      <c r="E152" s="10" t="s">
        <v>464</v>
      </c>
      <c r="F152" s="12">
        <v>5100</v>
      </c>
      <c r="G152" s="16">
        <v>0</v>
      </c>
      <c r="H152" s="14">
        <f>IF(A152="G",1,0)*G152</f>
        <v>0</v>
      </c>
      <c r="I152" s="14">
        <f>IF(A152="F",1,0)*G152</f>
        <v>0</v>
      </c>
      <c r="J152" s="17">
        <f>F152/C152</f>
        <v>354.16666666666669</v>
      </c>
      <c r="K152" s="18">
        <f>F152*G152</f>
        <v>0</v>
      </c>
      <c r="L152" s="14">
        <f>G152*C152</f>
        <v>0</v>
      </c>
    </row>
    <row r="153" spans="1:12" ht="16">
      <c r="A153" s="10" t="s">
        <v>0</v>
      </c>
      <c r="B153" s="11" t="s">
        <v>523</v>
      </c>
      <c r="C153" s="10">
        <v>15.8</v>
      </c>
      <c r="D153" s="10">
        <v>14</v>
      </c>
      <c r="E153" s="10" t="s">
        <v>479</v>
      </c>
      <c r="F153" s="12">
        <v>5600</v>
      </c>
      <c r="G153" s="16">
        <v>0</v>
      </c>
      <c r="H153" s="14">
        <f>IF(A153="G",1,0)*G153</f>
        <v>0</v>
      </c>
      <c r="I153" s="14">
        <f>IF(A153="F",1,0)*G153</f>
        <v>0</v>
      </c>
      <c r="J153" s="17">
        <f>F153/C153</f>
        <v>354.4303797468354</v>
      </c>
      <c r="K153" s="18">
        <f>F153*G153</f>
        <v>0</v>
      </c>
      <c r="L153" s="14">
        <f>G153*C153</f>
        <v>0</v>
      </c>
    </row>
    <row r="154" spans="1:12" ht="16">
      <c r="A154" s="10" t="s">
        <v>0</v>
      </c>
      <c r="B154" s="11" t="s">
        <v>578</v>
      </c>
      <c r="C154" s="10">
        <v>13.5</v>
      </c>
      <c r="D154" s="10">
        <v>14</v>
      </c>
      <c r="E154" s="13" t="s">
        <v>424</v>
      </c>
      <c r="F154" s="12">
        <v>4800</v>
      </c>
      <c r="G154" s="16">
        <v>0</v>
      </c>
      <c r="H154" s="14">
        <f>IF(A154="G",1,0)*G154</f>
        <v>0</v>
      </c>
      <c r="I154" s="14">
        <f>IF(A154="F",1,0)*G154</f>
        <v>0</v>
      </c>
      <c r="J154" s="17">
        <f>F154/C154</f>
        <v>355.55555555555554</v>
      </c>
      <c r="K154" s="18">
        <f>F154*G154</f>
        <v>0</v>
      </c>
      <c r="L154" s="14">
        <f>G154*C154</f>
        <v>0</v>
      </c>
    </row>
    <row r="155" spans="1:12" ht="16">
      <c r="A155" s="10" t="s">
        <v>0</v>
      </c>
      <c r="B155" s="11" t="s">
        <v>550</v>
      </c>
      <c r="C155" s="10">
        <v>14.5</v>
      </c>
      <c r="D155" s="10">
        <v>13</v>
      </c>
      <c r="E155" s="10" t="s">
        <v>453</v>
      </c>
      <c r="F155" s="12">
        <v>5200</v>
      </c>
      <c r="G155" s="16">
        <v>0</v>
      </c>
      <c r="H155" s="14">
        <f>IF(A155="G",1,0)*G155</f>
        <v>0</v>
      </c>
      <c r="I155" s="14">
        <f>IF(A155="F",1,0)*G155</f>
        <v>0</v>
      </c>
      <c r="J155" s="17">
        <f>F155/C155</f>
        <v>358.62068965517244</v>
      </c>
      <c r="K155" s="18">
        <f>F155*G155</f>
        <v>0</v>
      </c>
      <c r="L155" s="14">
        <f>G155*C155</f>
        <v>0</v>
      </c>
    </row>
    <row r="156" spans="1:12" ht="16">
      <c r="A156" s="10" t="s">
        <v>3</v>
      </c>
      <c r="B156" s="11" t="s">
        <v>579</v>
      </c>
      <c r="C156" s="10">
        <v>13.3</v>
      </c>
      <c r="D156" s="10">
        <v>11</v>
      </c>
      <c r="E156" s="13" t="s">
        <v>447</v>
      </c>
      <c r="F156" s="12">
        <v>4800</v>
      </c>
      <c r="G156" s="16">
        <v>0</v>
      </c>
      <c r="H156" s="14">
        <f>IF(A156="G",1,0)*G156</f>
        <v>0</v>
      </c>
      <c r="I156" s="14">
        <f>IF(A156="F",1,0)*G156</f>
        <v>0</v>
      </c>
      <c r="J156" s="17">
        <f>F156/C156</f>
        <v>360.90225563909775</v>
      </c>
      <c r="K156" s="18">
        <f>F156*G156</f>
        <v>0</v>
      </c>
      <c r="L156" s="14">
        <f>G156*C156</f>
        <v>0</v>
      </c>
    </row>
    <row r="157" spans="1:12" ht="16">
      <c r="A157" s="10" t="s">
        <v>3</v>
      </c>
      <c r="B157" s="11" t="s">
        <v>587</v>
      </c>
      <c r="C157" s="10">
        <v>13</v>
      </c>
      <c r="D157" s="10">
        <v>13</v>
      </c>
      <c r="E157" s="10" t="s">
        <v>401</v>
      </c>
      <c r="F157" s="12">
        <v>4700</v>
      </c>
      <c r="G157" s="16">
        <v>0</v>
      </c>
      <c r="H157" s="14">
        <f>IF(A157="G",1,0)*G157</f>
        <v>0</v>
      </c>
      <c r="I157" s="14">
        <f>IF(A157="F",1,0)*G157</f>
        <v>0</v>
      </c>
      <c r="J157" s="17">
        <f>F157/C157</f>
        <v>361.53846153846155</v>
      </c>
      <c r="K157" s="18">
        <f>F157*G157</f>
        <v>0</v>
      </c>
      <c r="L157" s="14">
        <f>G157*C157</f>
        <v>0</v>
      </c>
    </row>
    <row r="158" spans="1:12" ht="16">
      <c r="A158" s="10" t="s">
        <v>0</v>
      </c>
      <c r="B158" s="11" t="s">
        <v>574</v>
      </c>
      <c r="C158" s="10">
        <v>13.5</v>
      </c>
      <c r="D158" s="10">
        <v>13</v>
      </c>
      <c r="E158" s="13" t="s">
        <v>435</v>
      </c>
      <c r="F158" s="12">
        <v>4900</v>
      </c>
      <c r="G158" s="16">
        <v>0</v>
      </c>
      <c r="H158" s="14">
        <f>IF(A158="G",1,0)*G158</f>
        <v>0</v>
      </c>
      <c r="I158" s="14">
        <f>IF(A158="F",1,0)*G158</f>
        <v>0</v>
      </c>
      <c r="J158" s="17">
        <f>F158/C158</f>
        <v>362.96296296296299</v>
      </c>
      <c r="K158" s="18">
        <f>F158*G158</f>
        <v>0</v>
      </c>
      <c r="L158" s="14">
        <f>G158*C158</f>
        <v>0</v>
      </c>
    </row>
    <row r="159" spans="1:12" ht="16">
      <c r="A159" s="10" t="s">
        <v>0</v>
      </c>
      <c r="B159" s="11" t="s">
        <v>624</v>
      </c>
      <c r="C159" s="10">
        <v>12.3</v>
      </c>
      <c r="D159" s="10">
        <v>13</v>
      </c>
      <c r="E159" s="13" t="s">
        <v>447</v>
      </c>
      <c r="F159" s="12">
        <v>4500</v>
      </c>
      <c r="G159" s="16">
        <v>0</v>
      </c>
      <c r="H159" s="14">
        <f>IF(A159="G",1,0)*G159</f>
        <v>0</v>
      </c>
      <c r="I159" s="14">
        <f>IF(A159="F",1,0)*G159</f>
        <v>0</v>
      </c>
      <c r="J159" s="17">
        <f>F159/C159</f>
        <v>365.85365853658533</v>
      </c>
      <c r="K159" s="18">
        <f>F159*G159</f>
        <v>0</v>
      </c>
      <c r="L159" s="14">
        <f>G159*C159</f>
        <v>0</v>
      </c>
    </row>
    <row r="160" spans="1:12" ht="16">
      <c r="A160" s="10" t="s">
        <v>3</v>
      </c>
      <c r="B160" s="11" t="s">
        <v>597</v>
      </c>
      <c r="C160" s="10">
        <v>12.5</v>
      </c>
      <c r="D160" s="10">
        <v>12</v>
      </c>
      <c r="E160" s="10" t="s">
        <v>409</v>
      </c>
      <c r="F160" s="12">
        <v>4600</v>
      </c>
      <c r="G160" s="16">
        <v>0</v>
      </c>
      <c r="H160" s="14">
        <f>IF(A160="G",1,0)*G160</f>
        <v>0</v>
      </c>
      <c r="I160" s="14">
        <f>IF(A160="F",1,0)*G160</f>
        <v>0</v>
      </c>
      <c r="J160" s="17">
        <f>F160/C160</f>
        <v>368</v>
      </c>
      <c r="K160" s="18">
        <f>F160*G160</f>
        <v>0</v>
      </c>
      <c r="L160" s="14">
        <f>G160*C160</f>
        <v>0</v>
      </c>
    </row>
    <row r="161" spans="1:12" ht="16">
      <c r="A161" s="10" t="s">
        <v>0</v>
      </c>
      <c r="B161" s="11" t="s">
        <v>634</v>
      </c>
      <c r="C161" s="10">
        <v>12.2</v>
      </c>
      <c r="D161" s="10">
        <v>13</v>
      </c>
      <c r="E161" s="13" t="s">
        <v>460</v>
      </c>
      <c r="F161" s="12">
        <v>4500</v>
      </c>
      <c r="G161" s="16">
        <v>0</v>
      </c>
      <c r="H161" s="14">
        <f>IF(A161="G",1,0)*G161</f>
        <v>0</v>
      </c>
      <c r="I161" s="14">
        <f>IF(A161="F",1,0)*G161</f>
        <v>0</v>
      </c>
      <c r="J161" s="17">
        <f>F161/C161</f>
        <v>368.85245901639348</v>
      </c>
      <c r="K161" s="18">
        <f>F161*G161</f>
        <v>0</v>
      </c>
      <c r="L161" s="14">
        <f>G161*C161</f>
        <v>0</v>
      </c>
    </row>
    <row r="162" spans="1:12" ht="16">
      <c r="A162" s="10" t="s">
        <v>3</v>
      </c>
      <c r="B162" s="11" t="s">
        <v>594</v>
      </c>
      <c r="C162" s="10">
        <v>12.6</v>
      </c>
      <c r="D162" s="10">
        <v>11</v>
      </c>
      <c r="E162" s="10" t="s">
        <v>453</v>
      </c>
      <c r="F162" s="12">
        <v>4700</v>
      </c>
      <c r="G162" s="16">
        <v>0</v>
      </c>
      <c r="H162" s="14">
        <f>IF(A162="G",1,0)*G162</f>
        <v>0</v>
      </c>
      <c r="I162" s="14">
        <f>IF(A162="F",1,0)*G162</f>
        <v>0</v>
      </c>
      <c r="J162" s="17">
        <f>F162/C162</f>
        <v>373.01587301587301</v>
      </c>
      <c r="K162" s="18">
        <f>F162*G162</f>
        <v>0</v>
      </c>
      <c r="L162" s="14">
        <f>G162*C162</f>
        <v>0</v>
      </c>
    </row>
    <row r="163" spans="1:12" ht="16">
      <c r="A163" s="10" t="s">
        <v>3</v>
      </c>
      <c r="B163" s="11" t="s">
        <v>526</v>
      </c>
      <c r="C163" s="10">
        <v>14.7</v>
      </c>
      <c r="D163" s="10">
        <v>15</v>
      </c>
      <c r="E163" s="13" t="s">
        <v>427</v>
      </c>
      <c r="F163" s="12">
        <v>5500</v>
      </c>
      <c r="G163" s="16">
        <v>0</v>
      </c>
      <c r="H163" s="14">
        <f>IF(A163="G",1,0)*G163</f>
        <v>0</v>
      </c>
      <c r="I163" s="14">
        <f>IF(A163="F",1,0)*G163</f>
        <v>0</v>
      </c>
      <c r="J163" s="17">
        <f>F163/C163</f>
        <v>374.1496598639456</v>
      </c>
      <c r="K163" s="18">
        <f>F163*G163</f>
        <v>0</v>
      </c>
      <c r="L163" s="14">
        <f>G163*C163</f>
        <v>0</v>
      </c>
    </row>
    <row r="164" spans="1:12" ht="16">
      <c r="A164" s="10" t="s">
        <v>3</v>
      </c>
      <c r="B164" s="11" t="s">
        <v>571</v>
      </c>
      <c r="C164" s="10">
        <v>13</v>
      </c>
      <c r="D164" s="10">
        <v>11</v>
      </c>
      <c r="E164" s="13" t="s">
        <v>412</v>
      </c>
      <c r="F164" s="12">
        <v>4900</v>
      </c>
      <c r="G164" s="16">
        <v>0</v>
      </c>
      <c r="H164" s="14">
        <f>IF(A164="G",1,0)*G164</f>
        <v>0</v>
      </c>
      <c r="I164" s="14">
        <f>IF(A164="F",1,0)*G164</f>
        <v>0</v>
      </c>
      <c r="J164" s="17">
        <f>F164/C164</f>
        <v>376.92307692307691</v>
      </c>
      <c r="K164" s="18">
        <f>F164*G164</f>
        <v>0</v>
      </c>
      <c r="L164" s="14">
        <f>G164*C164</f>
        <v>0</v>
      </c>
    </row>
    <row r="165" spans="1:12" ht="16">
      <c r="A165" s="10" t="s">
        <v>3</v>
      </c>
      <c r="B165" s="11" t="s">
        <v>539</v>
      </c>
      <c r="C165" s="10">
        <v>14</v>
      </c>
      <c r="D165" s="10">
        <v>13</v>
      </c>
      <c r="E165" s="10" t="s">
        <v>475</v>
      </c>
      <c r="F165" s="12">
        <v>5300</v>
      </c>
      <c r="G165" s="16">
        <v>0</v>
      </c>
      <c r="H165" s="14">
        <f>IF(A165="G",1,0)*G165</f>
        <v>0</v>
      </c>
      <c r="I165" s="14">
        <f>IF(A165="F",1,0)*G165</f>
        <v>0</v>
      </c>
      <c r="J165" s="17">
        <f>F165/C165</f>
        <v>378.57142857142856</v>
      </c>
      <c r="K165" s="18">
        <f>F165*G165</f>
        <v>0</v>
      </c>
      <c r="L165" s="14">
        <f>G165*C165</f>
        <v>0</v>
      </c>
    </row>
    <row r="166" spans="1:12" ht="16">
      <c r="A166" s="10" t="s">
        <v>3</v>
      </c>
      <c r="B166" s="11" t="s">
        <v>616</v>
      </c>
      <c r="C166" s="10">
        <v>11.8</v>
      </c>
      <c r="D166" s="10">
        <v>9</v>
      </c>
      <c r="E166" s="10" t="s">
        <v>433</v>
      </c>
      <c r="F166" s="12">
        <v>4500</v>
      </c>
      <c r="G166" s="16">
        <v>0</v>
      </c>
      <c r="H166" s="14">
        <f>IF(A166="G",1,0)*G166</f>
        <v>0</v>
      </c>
      <c r="I166" s="14">
        <f>IF(A166="F",1,0)*G166</f>
        <v>0</v>
      </c>
      <c r="J166" s="17">
        <f>F166/C166</f>
        <v>381.35593220338978</v>
      </c>
      <c r="K166" s="18">
        <f>F166*G166</f>
        <v>0</v>
      </c>
      <c r="L166" s="14">
        <f>G166*C166</f>
        <v>0</v>
      </c>
    </row>
    <row r="167" spans="1:12" ht="16">
      <c r="A167" s="10" t="s">
        <v>3</v>
      </c>
      <c r="B167" s="11" t="s">
        <v>549</v>
      </c>
      <c r="C167" s="10">
        <v>13.6</v>
      </c>
      <c r="D167" s="10">
        <v>10</v>
      </c>
      <c r="E167" s="13" t="s">
        <v>440</v>
      </c>
      <c r="F167" s="12">
        <v>5200</v>
      </c>
      <c r="G167" s="16">
        <v>0</v>
      </c>
      <c r="H167" s="14">
        <f>IF(A167="G",1,0)*G167</f>
        <v>0</v>
      </c>
      <c r="I167" s="14">
        <f>IF(A167="F",1,0)*G167</f>
        <v>0</v>
      </c>
      <c r="J167" s="17">
        <f>F167/C167</f>
        <v>382.35294117647061</v>
      </c>
      <c r="K167" s="18">
        <f>F167*G167</f>
        <v>0</v>
      </c>
      <c r="L167" s="14">
        <f>G167*C167</f>
        <v>0</v>
      </c>
    </row>
    <row r="168" spans="1:12" ht="16">
      <c r="A168" s="10" t="s">
        <v>3</v>
      </c>
      <c r="B168" s="11" t="s">
        <v>592</v>
      </c>
      <c r="C168" s="10">
        <v>12.2</v>
      </c>
      <c r="D168" s="10">
        <v>14</v>
      </c>
      <c r="E168" s="10" t="s">
        <v>403</v>
      </c>
      <c r="F168" s="12">
        <v>4700</v>
      </c>
      <c r="G168" s="16">
        <v>0</v>
      </c>
      <c r="H168" s="14">
        <f>IF(A168="G",1,0)*G168</f>
        <v>0</v>
      </c>
      <c r="I168" s="14">
        <f>IF(A168="F",1,0)*G168</f>
        <v>0</v>
      </c>
      <c r="J168" s="17">
        <f>F168/C168</f>
        <v>385.24590163934431</v>
      </c>
      <c r="K168" s="18">
        <f>F168*G168</f>
        <v>0</v>
      </c>
      <c r="L168" s="14">
        <f>G168*C168</f>
        <v>0</v>
      </c>
    </row>
    <row r="169" spans="1:12" ht="16">
      <c r="A169" s="10" t="s">
        <v>0</v>
      </c>
      <c r="B169" s="11" t="s">
        <v>622</v>
      </c>
      <c r="C169" s="10">
        <v>11.6</v>
      </c>
      <c r="D169" s="10">
        <v>5</v>
      </c>
      <c r="E169" s="13" t="s">
        <v>418</v>
      </c>
      <c r="F169" s="12">
        <v>4500</v>
      </c>
      <c r="G169" s="16">
        <v>0</v>
      </c>
      <c r="H169" s="14">
        <f>IF(A169="G",1,0)*G169</f>
        <v>0</v>
      </c>
      <c r="I169" s="14">
        <f>IF(A169="F",1,0)*G169</f>
        <v>0</v>
      </c>
      <c r="J169" s="17">
        <f>F169/C169</f>
        <v>387.93103448275861</v>
      </c>
      <c r="K169" s="18">
        <f>F169*G169</f>
        <v>0</v>
      </c>
      <c r="L169" s="14">
        <f>G169*C169</f>
        <v>0</v>
      </c>
    </row>
    <row r="170" spans="1:12" ht="16">
      <c r="A170" s="10" t="s">
        <v>0</v>
      </c>
      <c r="B170" s="11" t="s">
        <v>551</v>
      </c>
      <c r="C170" s="10">
        <v>13.4</v>
      </c>
      <c r="D170" s="10">
        <v>15</v>
      </c>
      <c r="E170" s="10" t="s">
        <v>416</v>
      </c>
      <c r="F170" s="12">
        <v>5200</v>
      </c>
      <c r="G170" s="16">
        <v>0</v>
      </c>
      <c r="H170" s="14">
        <f>IF(A170="G",1,0)*G170</f>
        <v>0</v>
      </c>
      <c r="I170" s="14">
        <f>IF(A170="F",1,0)*G170</f>
        <v>0</v>
      </c>
      <c r="J170" s="17">
        <f>F170/C170</f>
        <v>388.05970149253733</v>
      </c>
      <c r="K170" s="18">
        <f>F170*G170</f>
        <v>0</v>
      </c>
      <c r="L170" s="14">
        <f>G170*C170</f>
        <v>0</v>
      </c>
    </row>
    <row r="171" spans="1:12" ht="16">
      <c r="A171" s="10" t="s">
        <v>0</v>
      </c>
      <c r="B171" s="11" t="s">
        <v>575</v>
      </c>
      <c r="C171" s="10">
        <v>12.6</v>
      </c>
      <c r="D171" s="10">
        <v>13</v>
      </c>
      <c r="E171" s="10" t="s">
        <v>453</v>
      </c>
      <c r="F171" s="12">
        <v>4900</v>
      </c>
      <c r="G171" s="16">
        <v>0</v>
      </c>
      <c r="H171" s="14">
        <f>IF(A171="G",1,0)*G171</f>
        <v>0</v>
      </c>
      <c r="I171" s="14">
        <f>IF(A171="F",1,0)*G171</f>
        <v>0</v>
      </c>
      <c r="J171" s="17">
        <f>F171/C171</f>
        <v>388.88888888888891</v>
      </c>
      <c r="K171" s="18">
        <f>F171*G171</f>
        <v>0</v>
      </c>
      <c r="L171" s="14">
        <f>G171*C171</f>
        <v>0</v>
      </c>
    </row>
    <row r="172" spans="1:12" ht="16">
      <c r="A172" s="10" t="s">
        <v>3</v>
      </c>
      <c r="B172" s="11" t="s">
        <v>555</v>
      </c>
      <c r="C172" s="10">
        <v>13.1</v>
      </c>
      <c r="D172" s="10">
        <v>7</v>
      </c>
      <c r="E172" s="13" t="s">
        <v>420</v>
      </c>
      <c r="F172" s="12">
        <v>5100</v>
      </c>
      <c r="G172" s="16">
        <v>0</v>
      </c>
      <c r="H172" s="14">
        <f>IF(A172="G",1,0)*G172</f>
        <v>0</v>
      </c>
      <c r="I172" s="14">
        <f>IF(A172="F",1,0)*G172</f>
        <v>0</v>
      </c>
      <c r="J172" s="17">
        <f>F172/C172</f>
        <v>389.31297709923666</v>
      </c>
      <c r="K172" s="18">
        <f>F172*G172</f>
        <v>0</v>
      </c>
      <c r="L172" s="14">
        <f>G172*C172</f>
        <v>0</v>
      </c>
    </row>
    <row r="173" spans="1:12" ht="16">
      <c r="A173" s="10" t="s">
        <v>3</v>
      </c>
      <c r="B173" s="11" t="s">
        <v>608</v>
      </c>
      <c r="C173" s="10">
        <v>11.5</v>
      </c>
      <c r="D173" s="10">
        <v>15</v>
      </c>
      <c r="E173" s="13" t="s">
        <v>418</v>
      </c>
      <c r="F173" s="12">
        <v>4500</v>
      </c>
      <c r="G173" s="16">
        <v>0</v>
      </c>
      <c r="H173" s="14">
        <f>IF(A173="G",1,0)*G173</f>
        <v>0</v>
      </c>
      <c r="I173" s="14">
        <f>IF(A173="F",1,0)*G173</f>
        <v>0</v>
      </c>
      <c r="J173" s="17">
        <f>F173/C173</f>
        <v>391.30434782608694</v>
      </c>
      <c r="K173" s="18">
        <f>F173*G173</f>
        <v>0</v>
      </c>
      <c r="L173" s="14">
        <f>G173*C173</f>
        <v>0</v>
      </c>
    </row>
    <row r="174" spans="1:12" ht="16">
      <c r="A174" s="10" t="s">
        <v>3</v>
      </c>
      <c r="B174" s="11" t="s">
        <v>572</v>
      </c>
      <c r="C174" s="10">
        <v>12.5</v>
      </c>
      <c r="D174" s="10">
        <v>14</v>
      </c>
      <c r="E174" s="13" t="s">
        <v>440</v>
      </c>
      <c r="F174" s="12">
        <v>4900</v>
      </c>
      <c r="G174" s="16">
        <v>0</v>
      </c>
      <c r="H174" s="14">
        <f>IF(A174="G",1,0)*G174</f>
        <v>0</v>
      </c>
      <c r="I174" s="14">
        <f>IF(A174="F",1,0)*G174</f>
        <v>0</v>
      </c>
      <c r="J174" s="17">
        <f>F174/C174</f>
        <v>392</v>
      </c>
      <c r="K174" s="18">
        <f>F174*G174</f>
        <v>0</v>
      </c>
      <c r="L174" s="14">
        <f>G174*C174</f>
        <v>0</v>
      </c>
    </row>
    <row r="175" spans="1:12" ht="16">
      <c r="A175" s="10" t="s">
        <v>0</v>
      </c>
      <c r="B175" s="11" t="s">
        <v>566</v>
      </c>
      <c r="C175" s="10">
        <v>12.7</v>
      </c>
      <c r="D175" s="10">
        <v>15</v>
      </c>
      <c r="E175" s="13" t="s">
        <v>427</v>
      </c>
      <c r="F175" s="12">
        <v>5000</v>
      </c>
      <c r="G175" s="16">
        <v>0</v>
      </c>
      <c r="H175" s="14">
        <f>IF(A175="G",1,0)*G175</f>
        <v>0</v>
      </c>
      <c r="I175" s="14">
        <f>IF(A175="F",1,0)*G175</f>
        <v>0</v>
      </c>
      <c r="J175" s="17">
        <f>F175/C175</f>
        <v>393.70078740157481</v>
      </c>
      <c r="K175" s="18">
        <f>F175*G175</f>
        <v>0</v>
      </c>
      <c r="L175" s="14">
        <f>G175*C175</f>
        <v>0</v>
      </c>
    </row>
    <row r="176" spans="1:12" ht="16">
      <c r="A176" s="10" t="s">
        <v>3</v>
      </c>
      <c r="B176" s="11" t="s">
        <v>617</v>
      </c>
      <c r="C176" s="10">
        <v>11.4</v>
      </c>
      <c r="D176" s="10">
        <v>15</v>
      </c>
      <c r="E176" s="13" t="s">
        <v>418</v>
      </c>
      <c r="F176" s="12">
        <v>4500</v>
      </c>
      <c r="G176" s="16">
        <v>0</v>
      </c>
      <c r="H176" s="14">
        <f>IF(A176="G",1,0)*G176</f>
        <v>0</v>
      </c>
      <c r="I176" s="14">
        <f>IF(A176="F",1,0)*G176</f>
        <v>0</v>
      </c>
      <c r="J176" s="17">
        <f>F176/C176</f>
        <v>394.73684210526312</v>
      </c>
      <c r="K176" s="18">
        <f>F176*G176</f>
        <v>0</v>
      </c>
      <c r="L176" s="14">
        <f>G176*C176</f>
        <v>0</v>
      </c>
    </row>
    <row r="177" spans="1:12" ht="16">
      <c r="A177" s="10" t="s">
        <v>0</v>
      </c>
      <c r="B177" s="11" t="s">
        <v>598</v>
      </c>
      <c r="C177" s="10">
        <v>11.6</v>
      </c>
      <c r="D177" s="10">
        <v>12</v>
      </c>
      <c r="E177" s="13" t="s">
        <v>414</v>
      </c>
      <c r="F177" s="12">
        <v>4600</v>
      </c>
      <c r="G177" s="16">
        <v>0</v>
      </c>
      <c r="H177" s="14">
        <f>IF(A177="G",1,0)*G177</f>
        <v>0</v>
      </c>
      <c r="I177" s="14">
        <f>IF(A177="F",1,0)*G177</f>
        <v>0</v>
      </c>
      <c r="J177" s="17">
        <f>F177/C177</f>
        <v>396.55172413793105</v>
      </c>
      <c r="K177" s="18">
        <f>F177*G177</f>
        <v>0</v>
      </c>
      <c r="L177" s="14">
        <f>G177*C177</f>
        <v>0</v>
      </c>
    </row>
    <row r="178" spans="1:12" ht="16">
      <c r="A178" s="10" t="s">
        <v>0</v>
      </c>
      <c r="B178" s="11" t="s">
        <v>565</v>
      </c>
      <c r="C178" s="10">
        <v>12.5</v>
      </c>
      <c r="D178" s="10">
        <v>14</v>
      </c>
      <c r="E178" s="10" t="s">
        <v>494</v>
      </c>
      <c r="F178" s="12">
        <v>5000</v>
      </c>
      <c r="G178" s="16">
        <v>0</v>
      </c>
      <c r="H178" s="14">
        <f>IF(A178="G",1,0)*G178</f>
        <v>0</v>
      </c>
      <c r="I178" s="14">
        <f>IF(A178="F",1,0)*G178</f>
        <v>0</v>
      </c>
      <c r="J178" s="17">
        <f>F178/C178</f>
        <v>400</v>
      </c>
      <c r="K178" s="18">
        <f>F178*G178</f>
        <v>0</v>
      </c>
      <c r="L178" s="14">
        <f>G178*C178</f>
        <v>0</v>
      </c>
    </row>
    <row r="179" spans="1:12" ht="16">
      <c r="A179" s="10" t="s">
        <v>3</v>
      </c>
      <c r="B179" s="11" t="s">
        <v>606</v>
      </c>
      <c r="C179" s="10">
        <v>11.2</v>
      </c>
      <c r="D179" s="10">
        <v>15</v>
      </c>
      <c r="E179" s="13" t="s">
        <v>427</v>
      </c>
      <c r="F179" s="12">
        <v>4500</v>
      </c>
      <c r="G179" s="16">
        <v>0</v>
      </c>
      <c r="H179" s="14">
        <f>IF(A179="G",1,0)*G179</f>
        <v>0</v>
      </c>
      <c r="I179" s="14">
        <f>IF(A179="F",1,0)*G179</f>
        <v>0</v>
      </c>
      <c r="J179" s="17">
        <f>F179/C179</f>
        <v>401.78571428571433</v>
      </c>
      <c r="K179" s="18">
        <f>F179*G179</f>
        <v>0</v>
      </c>
      <c r="L179" s="14">
        <f>G179*C179</f>
        <v>0</v>
      </c>
    </row>
    <row r="180" spans="1:12" ht="16">
      <c r="A180" s="10" t="s">
        <v>0</v>
      </c>
      <c r="B180" s="11" t="s">
        <v>613</v>
      </c>
      <c r="C180" s="10">
        <v>11.2</v>
      </c>
      <c r="D180" s="10">
        <v>14</v>
      </c>
      <c r="E180" s="10" t="s">
        <v>479</v>
      </c>
      <c r="F180" s="12">
        <v>4500</v>
      </c>
      <c r="G180" s="16">
        <v>0</v>
      </c>
      <c r="H180" s="14">
        <f>IF(A180="G",1,0)*G180</f>
        <v>0</v>
      </c>
      <c r="I180" s="14">
        <f>IF(A180="F",1,0)*G180</f>
        <v>0</v>
      </c>
      <c r="J180" s="17">
        <f>F180/C180</f>
        <v>401.78571428571433</v>
      </c>
      <c r="K180" s="18">
        <f>F180*G180</f>
        <v>0</v>
      </c>
      <c r="L180" s="14">
        <f>G180*C180</f>
        <v>0</v>
      </c>
    </row>
    <row r="181" spans="1:12" ht="16">
      <c r="A181" s="10" t="s">
        <v>3</v>
      </c>
      <c r="B181" s="11" t="s">
        <v>547</v>
      </c>
      <c r="C181" s="10">
        <v>12.9</v>
      </c>
      <c r="D181" s="10">
        <v>14</v>
      </c>
      <c r="E181" s="10" t="s">
        <v>462</v>
      </c>
      <c r="F181" s="12">
        <v>5200</v>
      </c>
      <c r="G181" s="16">
        <v>0</v>
      </c>
      <c r="H181" s="14">
        <f>IF(A181="G",1,0)*G181</f>
        <v>0</v>
      </c>
      <c r="I181" s="14">
        <f>IF(A181="F",1,0)*G181</f>
        <v>0</v>
      </c>
      <c r="J181" s="17">
        <f>F181/C181</f>
        <v>403.10077519379843</v>
      </c>
      <c r="K181" s="18">
        <f>F181*G181</f>
        <v>0</v>
      </c>
      <c r="L181" s="14">
        <f>G181*C181</f>
        <v>0</v>
      </c>
    </row>
    <row r="182" spans="1:12" ht="16">
      <c r="A182" s="10" t="s">
        <v>3</v>
      </c>
      <c r="B182" s="11" t="s">
        <v>568</v>
      </c>
      <c r="C182" s="10">
        <v>12.1</v>
      </c>
      <c r="D182" s="10">
        <v>13</v>
      </c>
      <c r="E182" s="13" t="s">
        <v>447</v>
      </c>
      <c r="F182" s="12">
        <v>4900</v>
      </c>
      <c r="G182" s="16">
        <v>0</v>
      </c>
      <c r="H182" s="14">
        <f>IF(A182="G",1,0)*G182</f>
        <v>0</v>
      </c>
      <c r="I182" s="14">
        <f>IF(A182="F",1,0)*G182</f>
        <v>0</v>
      </c>
      <c r="J182" s="17">
        <f>F182/C182</f>
        <v>404.95867768595042</v>
      </c>
      <c r="K182" s="18">
        <f>F182*G182</f>
        <v>0</v>
      </c>
      <c r="L182" s="14">
        <f>G182*C182</f>
        <v>0</v>
      </c>
    </row>
    <row r="183" spans="1:12" ht="16">
      <c r="A183" s="10" t="s">
        <v>3</v>
      </c>
      <c r="B183" s="11" t="s">
        <v>604</v>
      </c>
      <c r="C183" s="10">
        <v>11.1</v>
      </c>
      <c r="D183" s="10">
        <v>15</v>
      </c>
      <c r="E183" s="10" t="s">
        <v>410</v>
      </c>
      <c r="F183" s="12">
        <v>4500</v>
      </c>
      <c r="G183" s="16">
        <v>0</v>
      </c>
      <c r="H183" s="14">
        <f>IF(A183="G",1,0)*G183</f>
        <v>0</v>
      </c>
      <c r="I183" s="14">
        <f>IF(A183="F",1,0)*G183</f>
        <v>0</v>
      </c>
      <c r="J183" s="17">
        <f>F183/C183</f>
        <v>405.40540540540542</v>
      </c>
      <c r="K183" s="18">
        <f>F183*G183</f>
        <v>0</v>
      </c>
      <c r="L183" s="14">
        <f>G183*C183</f>
        <v>0</v>
      </c>
    </row>
    <row r="184" spans="1:12" ht="16">
      <c r="A184" s="10" t="s">
        <v>3</v>
      </c>
      <c r="B184" s="11" t="s">
        <v>620</v>
      </c>
      <c r="C184" s="10">
        <v>11.1</v>
      </c>
      <c r="D184" s="10">
        <v>15</v>
      </c>
      <c r="E184" s="10" t="s">
        <v>416</v>
      </c>
      <c r="F184" s="12">
        <v>4500</v>
      </c>
      <c r="G184" s="16">
        <v>0</v>
      </c>
      <c r="H184" s="14">
        <f>IF(A184="G",1,0)*G184</f>
        <v>0</v>
      </c>
      <c r="I184" s="14">
        <f>IF(A184="F",1,0)*G184</f>
        <v>0</v>
      </c>
      <c r="J184" s="17">
        <f>F184/C184</f>
        <v>405.40540540540542</v>
      </c>
      <c r="K184" s="18">
        <f>F184*G184</f>
        <v>0</v>
      </c>
      <c r="L184" s="14">
        <f>G184*C184</f>
        <v>0</v>
      </c>
    </row>
    <row r="185" spans="1:12" ht="16">
      <c r="A185" s="10" t="s">
        <v>3</v>
      </c>
      <c r="B185" s="11" t="s">
        <v>615</v>
      </c>
      <c r="C185" s="10">
        <v>10.9</v>
      </c>
      <c r="D185" s="10">
        <v>12</v>
      </c>
      <c r="E185" s="10" t="s">
        <v>416</v>
      </c>
      <c r="F185" s="12">
        <v>4500</v>
      </c>
      <c r="G185" s="16">
        <v>0</v>
      </c>
      <c r="H185" s="14">
        <f>IF(A185="G",1,0)*G185</f>
        <v>0</v>
      </c>
      <c r="I185" s="14">
        <f>IF(A185="F",1,0)*G185</f>
        <v>0</v>
      </c>
      <c r="J185" s="17">
        <f>F185/C185</f>
        <v>412.8440366972477</v>
      </c>
      <c r="K185" s="18">
        <f>F185*G185</f>
        <v>0</v>
      </c>
      <c r="L185" s="14">
        <f>G185*C185</f>
        <v>0</v>
      </c>
    </row>
    <row r="186" spans="1:12" ht="16">
      <c r="A186" s="10" t="s">
        <v>3</v>
      </c>
      <c r="B186" s="11" t="s">
        <v>570</v>
      </c>
      <c r="C186" s="10">
        <v>11.7</v>
      </c>
      <c r="D186" s="10">
        <v>13</v>
      </c>
      <c r="E186" s="10" t="s">
        <v>494</v>
      </c>
      <c r="F186" s="12">
        <v>4900</v>
      </c>
      <c r="G186" s="16">
        <v>0</v>
      </c>
      <c r="H186" s="14">
        <f>IF(A186="G",1,0)*G186</f>
        <v>0</v>
      </c>
      <c r="I186" s="14">
        <f>IF(A186="F",1,0)*G186</f>
        <v>0</v>
      </c>
      <c r="J186" s="17">
        <f>F186/C186</f>
        <v>418.80341880341882</v>
      </c>
      <c r="K186" s="18">
        <f>F186*G186</f>
        <v>0</v>
      </c>
      <c r="L186" s="14">
        <f>G186*C186</f>
        <v>0</v>
      </c>
    </row>
    <row r="187" spans="1:12" ht="16">
      <c r="A187" s="10" t="s">
        <v>3</v>
      </c>
      <c r="B187" s="11" t="s">
        <v>614</v>
      </c>
      <c r="C187" s="10">
        <v>10.7</v>
      </c>
      <c r="D187" s="10">
        <v>13</v>
      </c>
      <c r="E187" s="10" t="s">
        <v>479</v>
      </c>
      <c r="F187" s="12">
        <v>4500</v>
      </c>
      <c r="G187" s="16">
        <v>0</v>
      </c>
      <c r="H187" s="14">
        <f>IF(A187="G",1,0)*G187</f>
        <v>0</v>
      </c>
      <c r="I187" s="14">
        <f>IF(A187="F",1,0)*G187</f>
        <v>0</v>
      </c>
      <c r="J187" s="17">
        <f>F187/C187</f>
        <v>420.56074766355141</v>
      </c>
      <c r="K187" s="18">
        <f>F187*G187</f>
        <v>0</v>
      </c>
      <c r="L187" s="14">
        <f>G187*C187</f>
        <v>0</v>
      </c>
    </row>
    <row r="188" spans="1:12" ht="16">
      <c r="A188" s="10" t="s">
        <v>0</v>
      </c>
      <c r="B188" s="11" t="s">
        <v>629</v>
      </c>
      <c r="C188" s="10">
        <v>10.7</v>
      </c>
      <c r="D188" s="10">
        <v>9</v>
      </c>
      <c r="E188" s="10" t="s">
        <v>462</v>
      </c>
      <c r="F188" s="12">
        <v>4500</v>
      </c>
      <c r="G188" s="16">
        <v>0</v>
      </c>
      <c r="H188" s="14">
        <f>IF(A188="G",1,0)*G188</f>
        <v>0</v>
      </c>
      <c r="I188" s="14">
        <f>IF(A188="F",1,0)*G188</f>
        <v>0</v>
      </c>
      <c r="J188" s="17">
        <f>F188/C188</f>
        <v>420.56074766355141</v>
      </c>
      <c r="K188" s="18">
        <f>F188*G188</f>
        <v>0</v>
      </c>
      <c r="L188" s="14">
        <f>G188*C188</f>
        <v>0</v>
      </c>
    </row>
    <row r="189" spans="1:12" ht="16">
      <c r="A189" s="10" t="s">
        <v>0</v>
      </c>
      <c r="B189" s="11" t="s">
        <v>582</v>
      </c>
      <c r="C189" s="10">
        <v>11.4</v>
      </c>
      <c r="D189" s="10">
        <v>13</v>
      </c>
      <c r="E189" s="10" t="s">
        <v>475</v>
      </c>
      <c r="F189" s="12">
        <v>4800</v>
      </c>
      <c r="G189" s="16">
        <v>0</v>
      </c>
      <c r="H189" s="14">
        <f>IF(A189="G",1,0)*G189</f>
        <v>0</v>
      </c>
      <c r="I189" s="14">
        <f>IF(A189="F",1,0)*G189</f>
        <v>0</v>
      </c>
      <c r="J189" s="17">
        <f>F189/C189</f>
        <v>421.05263157894734</v>
      </c>
      <c r="K189" s="18">
        <f>F189*G189</f>
        <v>0</v>
      </c>
      <c r="L189" s="14">
        <f>G189*C189</f>
        <v>0</v>
      </c>
    </row>
    <row r="190" spans="1:12" ht="16">
      <c r="A190" s="10" t="s">
        <v>3</v>
      </c>
      <c r="B190" s="11" t="s">
        <v>618</v>
      </c>
      <c r="C190" s="10">
        <v>10.5</v>
      </c>
      <c r="D190" s="10">
        <v>13</v>
      </c>
      <c r="E190" s="13" t="s">
        <v>412</v>
      </c>
      <c r="F190" s="12">
        <v>4500</v>
      </c>
      <c r="G190" s="16">
        <v>0</v>
      </c>
      <c r="H190" s="14">
        <f>IF(A190="G",1,0)*G190</f>
        <v>0</v>
      </c>
      <c r="I190" s="14">
        <f>IF(A190="F",1,0)*G190</f>
        <v>0</v>
      </c>
      <c r="J190" s="17">
        <f>F190/C190</f>
        <v>428.57142857142856</v>
      </c>
      <c r="K190" s="18">
        <f>F190*G190</f>
        <v>0</v>
      </c>
      <c r="L190" s="14">
        <f>G190*C190</f>
        <v>0</v>
      </c>
    </row>
    <row r="191" spans="1:12" ht="16">
      <c r="A191" s="10" t="s">
        <v>0</v>
      </c>
      <c r="B191" s="11" t="s">
        <v>542</v>
      </c>
      <c r="C191" s="10">
        <v>12.1</v>
      </c>
      <c r="D191" s="10">
        <v>13</v>
      </c>
      <c r="E191" s="13" t="s">
        <v>422</v>
      </c>
      <c r="F191" s="12">
        <v>5200</v>
      </c>
      <c r="G191" s="16">
        <v>0</v>
      </c>
      <c r="H191" s="14">
        <f>IF(A191="G",1,0)*G191</f>
        <v>0</v>
      </c>
      <c r="I191" s="14">
        <f>IF(A191="F",1,0)*G191</f>
        <v>0</v>
      </c>
      <c r="J191" s="17">
        <f>F191/C191</f>
        <v>429.75206611570252</v>
      </c>
      <c r="K191" s="18">
        <f>F191*G191</f>
        <v>0</v>
      </c>
      <c r="L191" s="14">
        <f>G191*C191</f>
        <v>0</v>
      </c>
    </row>
    <row r="192" spans="1:12" ht="16">
      <c r="A192" s="10" t="s">
        <v>0</v>
      </c>
      <c r="B192" s="11" t="s">
        <v>602</v>
      </c>
      <c r="C192" s="10">
        <v>10.7</v>
      </c>
      <c r="D192" s="10">
        <v>13</v>
      </c>
      <c r="E192" s="10" t="s">
        <v>437</v>
      </c>
      <c r="F192" s="12">
        <v>4600</v>
      </c>
      <c r="G192" s="16">
        <v>0</v>
      </c>
      <c r="H192" s="14">
        <f>IF(A192="G",1,0)*G192</f>
        <v>0</v>
      </c>
      <c r="I192" s="14">
        <f>IF(A192="F",1,0)*G192</f>
        <v>0</v>
      </c>
      <c r="J192" s="17">
        <f>F192/C192</f>
        <v>429.90654205607478</v>
      </c>
      <c r="K192" s="18">
        <f>F192*G192</f>
        <v>0</v>
      </c>
      <c r="L192" s="14">
        <f>G192*C192</f>
        <v>0</v>
      </c>
    </row>
    <row r="193" spans="1:12" ht="16">
      <c r="A193" s="10" t="s">
        <v>0</v>
      </c>
      <c r="B193" s="11" t="s">
        <v>609</v>
      </c>
      <c r="C193" s="10">
        <v>10.4</v>
      </c>
      <c r="D193" s="10">
        <v>13</v>
      </c>
      <c r="E193" s="10" t="s">
        <v>443</v>
      </c>
      <c r="F193" s="12">
        <v>4500</v>
      </c>
      <c r="G193" s="16">
        <v>0</v>
      </c>
      <c r="H193" s="14">
        <f>IF(A193="G",1,0)*G193</f>
        <v>0</v>
      </c>
      <c r="I193" s="14">
        <f>IF(A193="F",1,0)*G193</f>
        <v>0</v>
      </c>
      <c r="J193" s="17">
        <f>F193/C193</f>
        <v>432.69230769230768</v>
      </c>
      <c r="K193" s="18">
        <f>F193*G193</f>
        <v>0</v>
      </c>
      <c r="L193" s="14">
        <f>G193*C193</f>
        <v>0</v>
      </c>
    </row>
    <row r="194" spans="1:12" ht="16">
      <c r="A194" s="10" t="s">
        <v>0</v>
      </c>
      <c r="B194" s="11" t="s">
        <v>586</v>
      </c>
      <c r="C194" s="10">
        <v>10.8</v>
      </c>
      <c r="D194" s="10">
        <v>8</v>
      </c>
      <c r="E194" s="13" t="s">
        <v>447</v>
      </c>
      <c r="F194" s="12">
        <v>4700</v>
      </c>
      <c r="G194" s="16">
        <v>0</v>
      </c>
      <c r="H194" s="14">
        <f>IF(A194="G",1,0)*G194</f>
        <v>0</v>
      </c>
      <c r="I194" s="14">
        <f>IF(A194="F",1,0)*G194</f>
        <v>0</v>
      </c>
      <c r="J194" s="17">
        <f>F194/C194</f>
        <v>435.18518518518516</v>
      </c>
      <c r="K194" s="18">
        <f>F194*G194</f>
        <v>0</v>
      </c>
      <c r="L194" s="14">
        <f>G194*C194</f>
        <v>0</v>
      </c>
    </row>
    <row r="195" spans="1:12" ht="16">
      <c r="A195" s="10" t="s">
        <v>0</v>
      </c>
      <c r="B195" s="11" t="s">
        <v>610</v>
      </c>
      <c r="C195" s="10">
        <v>10.3</v>
      </c>
      <c r="D195" s="10">
        <v>11</v>
      </c>
      <c r="E195" s="13" t="s">
        <v>414</v>
      </c>
      <c r="F195" s="12">
        <v>4500</v>
      </c>
      <c r="G195" s="16">
        <v>0</v>
      </c>
      <c r="H195" s="14">
        <f>IF(A195="G",1,0)*G195</f>
        <v>0</v>
      </c>
      <c r="I195" s="14">
        <f>IF(A195="F",1,0)*G195</f>
        <v>0</v>
      </c>
      <c r="J195" s="17">
        <f>F195/C195</f>
        <v>436.89320388349512</v>
      </c>
      <c r="K195" s="18">
        <f>F195*G195</f>
        <v>0</v>
      </c>
      <c r="L195" s="14">
        <f>G195*C195</f>
        <v>0</v>
      </c>
    </row>
    <row r="196" spans="1:12" ht="16">
      <c r="A196" s="10" t="s">
        <v>0</v>
      </c>
      <c r="B196" s="11" t="s">
        <v>607</v>
      </c>
      <c r="C196" s="10">
        <v>10.199999999999999</v>
      </c>
      <c r="D196" s="10">
        <v>15</v>
      </c>
      <c r="E196" s="13" t="s">
        <v>420</v>
      </c>
      <c r="F196" s="12">
        <v>4500</v>
      </c>
      <c r="G196" s="16">
        <v>0</v>
      </c>
      <c r="H196" s="14">
        <f>IF(A196="G",1,0)*G196</f>
        <v>0</v>
      </c>
      <c r="I196" s="14">
        <f>IF(A196="F",1,0)*G196</f>
        <v>0</v>
      </c>
      <c r="J196" s="17">
        <f>F196/C196</f>
        <v>441.1764705882353</v>
      </c>
      <c r="K196" s="18">
        <f>F196*G196</f>
        <v>0</v>
      </c>
      <c r="L196" s="14">
        <f>G196*C196</f>
        <v>0</v>
      </c>
    </row>
    <row r="197" spans="1:12" ht="16">
      <c r="A197" s="10" t="s">
        <v>3</v>
      </c>
      <c r="B197" s="11" t="s">
        <v>596</v>
      </c>
      <c r="C197" s="10">
        <v>10.4</v>
      </c>
      <c r="D197" s="10">
        <v>15</v>
      </c>
      <c r="E197" s="13" t="s">
        <v>427</v>
      </c>
      <c r="F197" s="12">
        <v>4600</v>
      </c>
      <c r="G197" s="16">
        <v>0</v>
      </c>
      <c r="H197" s="14">
        <f>IF(A197="G",1,0)*G197</f>
        <v>0</v>
      </c>
      <c r="I197" s="14">
        <f>IF(A197="F",1,0)*G197</f>
        <v>0</v>
      </c>
      <c r="J197" s="17">
        <f>F197/C197</f>
        <v>442.30769230769232</v>
      </c>
      <c r="K197" s="18">
        <f>F197*G197</f>
        <v>0</v>
      </c>
      <c r="L197" s="14">
        <f>G197*C197</f>
        <v>0</v>
      </c>
    </row>
    <row r="198" spans="1:12" ht="16">
      <c r="A198" s="10" t="s">
        <v>3</v>
      </c>
      <c r="B198" s="11" t="s">
        <v>625</v>
      </c>
      <c r="C198" s="10">
        <v>10.1</v>
      </c>
      <c r="D198" s="10">
        <v>15</v>
      </c>
      <c r="E198" s="13" t="s">
        <v>418</v>
      </c>
      <c r="F198" s="12">
        <v>4500</v>
      </c>
      <c r="G198" s="16">
        <v>0</v>
      </c>
      <c r="H198" s="14">
        <f>IF(A198="G",1,0)*G198</f>
        <v>0</v>
      </c>
      <c r="I198" s="14">
        <f>IF(A198="F",1,0)*G198</f>
        <v>0</v>
      </c>
      <c r="J198" s="17">
        <f>F198/C198</f>
        <v>445.54455445544556</v>
      </c>
      <c r="K198" s="18">
        <f>F198*G198</f>
        <v>0</v>
      </c>
      <c r="L198" s="14">
        <f>G198*C198</f>
        <v>0</v>
      </c>
    </row>
    <row r="199" spans="1:12" ht="16">
      <c r="A199" s="10" t="s">
        <v>3</v>
      </c>
      <c r="B199" s="11" t="s">
        <v>585</v>
      </c>
      <c r="C199" s="10">
        <v>10.6</v>
      </c>
      <c r="D199" s="10">
        <v>12</v>
      </c>
      <c r="E199" s="13" t="s">
        <v>414</v>
      </c>
      <c r="F199" s="12">
        <v>4800</v>
      </c>
      <c r="G199" s="16">
        <v>0</v>
      </c>
      <c r="H199" s="14">
        <f>IF(A199="G",1,0)*G199</f>
        <v>0</v>
      </c>
      <c r="I199" s="14">
        <f>IF(A199="F",1,0)*G199</f>
        <v>0</v>
      </c>
      <c r="J199" s="17">
        <f>F199/C199</f>
        <v>452.83018867924528</v>
      </c>
      <c r="K199" s="18">
        <f>F199*G199</f>
        <v>0</v>
      </c>
      <c r="L199" s="14">
        <f>G199*C199</f>
        <v>0</v>
      </c>
    </row>
    <row r="200" spans="1:12" ht="16">
      <c r="A200" s="10" t="s">
        <v>0</v>
      </c>
      <c r="B200" s="11" t="s">
        <v>631</v>
      </c>
      <c r="C200" s="10">
        <v>9.9</v>
      </c>
      <c r="D200" s="10">
        <v>10</v>
      </c>
      <c r="E200" s="10" t="s">
        <v>433</v>
      </c>
      <c r="F200" s="12">
        <v>4500</v>
      </c>
      <c r="G200" s="16">
        <v>0</v>
      </c>
      <c r="H200" s="14">
        <f>IF(A200="G",1,0)*G200</f>
        <v>0</v>
      </c>
      <c r="I200" s="14">
        <f>IF(A200="F",1,0)*G200</f>
        <v>0</v>
      </c>
      <c r="J200" s="17">
        <f>F200/C200</f>
        <v>454.5454545454545</v>
      </c>
      <c r="K200" s="18">
        <f>F200*G200</f>
        <v>0</v>
      </c>
      <c r="L200" s="14">
        <f>G200*C200</f>
        <v>0</v>
      </c>
    </row>
    <row r="201" spans="1:12" ht="16">
      <c r="A201" s="10" t="s">
        <v>0</v>
      </c>
      <c r="B201" s="11" t="s">
        <v>518</v>
      </c>
      <c r="C201" s="10">
        <v>12.5</v>
      </c>
      <c r="D201" s="10">
        <v>13</v>
      </c>
      <c r="E201" s="13" t="s">
        <v>407</v>
      </c>
      <c r="F201" s="12">
        <v>5700</v>
      </c>
      <c r="G201" s="16">
        <v>0</v>
      </c>
      <c r="H201" s="14">
        <f>IF(A201="G",1,0)*G201</f>
        <v>0</v>
      </c>
      <c r="I201" s="14">
        <f>IF(A201="F",1,0)*G201</f>
        <v>0</v>
      </c>
      <c r="J201" s="17">
        <f>F201/C201</f>
        <v>456</v>
      </c>
      <c r="K201" s="18">
        <f>F201*G201</f>
        <v>0</v>
      </c>
      <c r="L201" s="14">
        <f>G201*C201</f>
        <v>0</v>
      </c>
    </row>
    <row r="202" spans="1:12" ht="16">
      <c r="A202" s="10" t="s">
        <v>3</v>
      </c>
      <c r="B202" s="11" t="s">
        <v>619</v>
      </c>
      <c r="C202" s="10">
        <v>9.8000000000000007</v>
      </c>
      <c r="D202" s="10">
        <v>11</v>
      </c>
      <c r="E202" s="10" t="s">
        <v>494</v>
      </c>
      <c r="F202" s="12">
        <v>4500</v>
      </c>
      <c r="G202" s="16">
        <v>0</v>
      </c>
      <c r="H202" s="14">
        <f>IF(A202="G",1,0)*G202</f>
        <v>0</v>
      </c>
      <c r="I202" s="14">
        <f>IF(A202="F",1,0)*G202</f>
        <v>0</v>
      </c>
      <c r="J202" s="17">
        <f>F202/C202</f>
        <v>459.18367346938771</v>
      </c>
      <c r="K202" s="18">
        <f>F202*G202</f>
        <v>0</v>
      </c>
      <c r="L202" s="14">
        <f>G202*C202</f>
        <v>0</v>
      </c>
    </row>
    <row r="203" spans="1:12" ht="16">
      <c r="A203" s="10" t="s">
        <v>0</v>
      </c>
      <c r="B203" s="11" t="s">
        <v>633</v>
      </c>
      <c r="C203" s="10">
        <v>9.8000000000000007</v>
      </c>
      <c r="D203" s="10">
        <v>15</v>
      </c>
      <c r="E203" s="10" t="s">
        <v>401</v>
      </c>
      <c r="F203" s="12">
        <v>4500</v>
      </c>
      <c r="G203" s="16">
        <v>0</v>
      </c>
      <c r="H203" s="14">
        <f>IF(A203="G",1,0)*G203</f>
        <v>0</v>
      </c>
      <c r="I203" s="14">
        <f>IF(A203="F",1,0)*G203</f>
        <v>0</v>
      </c>
      <c r="J203" s="17">
        <f>F203/C203</f>
        <v>459.18367346938771</v>
      </c>
      <c r="K203" s="18">
        <f>F203*G203</f>
        <v>0</v>
      </c>
      <c r="L203" s="14">
        <f>G203*C203</f>
        <v>0</v>
      </c>
    </row>
    <row r="204" spans="1:12" ht="16">
      <c r="A204" s="10" t="s">
        <v>3</v>
      </c>
      <c r="B204" s="11" t="s">
        <v>605</v>
      </c>
      <c r="C204" s="10">
        <v>9.6999999999999993</v>
      </c>
      <c r="D204" s="10">
        <v>15</v>
      </c>
      <c r="E204" s="13" t="s">
        <v>420</v>
      </c>
      <c r="F204" s="12">
        <v>4500</v>
      </c>
      <c r="G204" s="16">
        <v>0</v>
      </c>
      <c r="H204" s="14">
        <f>IF(A204="G",1,0)*G204</f>
        <v>0</v>
      </c>
      <c r="I204" s="14">
        <f>IF(A204="F",1,0)*G204</f>
        <v>0</v>
      </c>
      <c r="J204" s="17">
        <f>F204/C204</f>
        <v>463.91752577319591</v>
      </c>
      <c r="K204" s="18">
        <f>F204*G204</f>
        <v>0</v>
      </c>
      <c r="L204" s="14">
        <f>G204*C204</f>
        <v>0</v>
      </c>
    </row>
    <row r="205" spans="1:12" ht="16">
      <c r="A205" s="10" t="s">
        <v>3</v>
      </c>
      <c r="B205" s="11" t="s">
        <v>626</v>
      </c>
      <c r="C205" s="10">
        <v>9.6999999999999993</v>
      </c>
      <c r="D205" s="10">
        <v>15</v>
      </c>
      <c r="E205" s="10" t="s">
        <v>464</v>
      </c>
      <c r="F205" s="12">
        <v>4500</v>
      </c>
      <c r="G205" s="16">
        <v>0</v>
      </c>
      <c r="H205" s="14">
        <f>IF(A205="G",1,0)*G205</f>
        <v>0</v>
      </c>
      <c r="I205" s="14">
        <f>IF(A205="F",1,0)*G205</f>
        <v>0</v>
      </c>
      <c r="J205" s="17">
        <f>F205/C205</f>
        <v>463.91752577319591</v>
      </c>
      <c r="K205" s="18">
        <f>F205*G205</f>
        <v>0</v>
      </c>
      <c r="L205" s="14">
        <f>G205*C205</f>
        <v>0</v>
      </c>
    </row>
    <row r="206" spans="1:12" ht="16">
      <c r="A206" s="10" t="s">
        <v>0</v>
      </c>
      <c r="B206" s="11" t="s">
        <v>627</v>
      </c>
      <c r="C206" s="10">
        <v>9.6999999999999993</v>
      </c>
      <c r="D206" s="10">
        <v>13</v>
      </c>
      <c r="E206" s="10" t="s">
        <v>464</v>
      </c>
      <c r="F206" s="12">
        <v>4500</v>
      </c>
      <c r="G206" s="16">
        <v>0</v>
      </c>
      <c r="H206" s="14">
        <f>IF(A206="G",1,0)*G206</f>
        <v>0</v>
      </c>
      <c r="I206" s="14">
        <f>IF(A206="F",1,0)*G206</f>
        <v>0</v>
      </c>
      <c r="J206" s="17">
        <f>F206/C206</f>
        <v>463.91752577319591</v>
      </c>
      <c r="K206" s="18">
        <f>F206*G206</f>
        <v>0</v>
      </c>
      <c r="L206" s="14">
        <f>G206*C206</f>
        <v>0</v>
      </c>
    </row>
    <row r="207" spans="1:12" ht="16">
      <c r="A207" s="10" t="s">
        <v>0</v>
      </c>
      <c r="B207" s="11" t="s">
        <v>593</v>
      </c>
      <c r="C207" s="10">
        <v>10.1</v>
      </c>
      <c r="D207" s="10">
        <v>13</v>
      </c>
      <c r="E207" s="10" t="s">
        <v>475</v>
      </c>
      <c r="F207" s="12">
        <v>4700</v>
      </c>
      <c r="G207" s="16">
        <v>0</v>
      </c>
      <c r="H207" s="14">
        <f>IF(A207="G",1,0)*G207</f>
        <v>0</v>
      </c>
      <c r="I207" s="14">
        <f>IF(A207="F",1,0)*G207</f>
        <v>0</v>
      </c>
      <c r="J207" s="17">
        <f>F207/C207</f>
        <v>465.34653465346537</v>
      </c>
      <c r="K207" s="18">
        <f>F207*G207</f>
        <v>0</v>
      </c>
      <c r="L207" s="14">
        <f>G207*C207</f>
        <v>0</v>
      </c>
    </row>
    <row r="208" spans="1:12" ht="16">
      <c r="A208" s="10" t="s">
        <v>3</v>
      </c>
      <c r="B208" s="11" t="s">
        <v>603</v>
      </c>
      <c r="C208" s="10">
        <v>9.5</v>
      </c>
      <c r="D208" s="10">
        <v>15</v>
      </c>
      <c r="E208" s="13" t="s">
        <v>420</v>
      </c>
      <c r="F208" s="12">
        <v>4500</v>
      </c>
      <c r="G208" s="16">
        <v>0</v>
      </c>
      <c r="H208" s="14">
        <f>IF(A208="G",1,0)*G208</f>
        <v>0</v>
      </c>
      <c r="I208" s="14">
        <f>IF(A208="F",1,0)*G208</f>
        <v>0</v>
      </c>
      <c r="J208" s="17">
        <f>F208/C208</f>
        <v>473.68421052631578</v>
      </c>
      <c r="K208" s="18">
        <f>F208*G208</f>
        <v>0</v>
      </c>
      <c r="L208" s="14">
        <f>G208*C208</f>
        <v>0</v>
      </c>
    </row>
    <row r="209" spans="4:4">
      <c r="D209" s="3"/>
    </row>
    <row r="212" spans="4:4">
      <c r="D212" s="3"/>
    </row>
    <row r="215" spans="4:4">
      <c r="D215" s="3"/>
    </row>
    <row r="218" spans="4:4">
      <c r="D218" s="3"/>
    </row>
    <row r="221" spans="4:4">
      <c r="D221" s="3"/>
    </row>
    <row r="224" spans="4:4">
      <c r="D224" s="3"/>
    </row>
    <row r="227" spans="4:4">
      <c r="D227" s="3"/>
    </row>
    <row r="230" spans="4:4">
      <c r="D230" s="3"/>
    </row>
    <row r="233" spans="4:4">
      <c r="D233" s="3"/>
    </row>
    <row r="236" spans="4:4">
      <c r="D236" s="3"/>
    </row>
    <row r="239" spans="4:4">
      <c r="D239" s="3"/>
    </row>
    <row r="242" spans="4:4">
      <c r="D242" s="3"/>
    </row>
    <row r="245" spans="4:4">
      <c r="D245" s="3"/>
    </row>
    <row r="248" spans="4:4">
      <c r="D248" s="3"/>
    </row>
    <row r="251" spans="4:4">
      <c r="D251" s="3"/>
    </row>
    <row r="254" spans="4:4">
      <c r="D254" s="3"/>
    </row>
    <row r="257" spans="4:4">
      <c r="D257" s="3"/>
    </row>
    <row r="260" spans="4:4">
      <c r="D260" s="3"/>
    </row>
    <row r="263" spans="4:4">
      <c r="D263" s="3"/>
    </row>
    <row r="266" spans="4:4">
      <c r="D266" s="3"/>
    </row>
    <row r="269" spans="4:4">
      <c r="D269" s="3"/>
    </row>
    <row r="272" spans="4:4">
      <c r="D272" s="3"/>
    </row>
    <row r="275" spans="4:4">
      <c r="D275" s="3"/>
    </row>
    <row r="278" spans="4:4">
      <c r="D278" s="3"/>
    </row>
    <row r="281" spans="4:4">
      <c r="D281" s="3"/>
    </row>
    <row r="284" spans="4:4">
      <c r="D284" s="3"/>
    </row>
    <row r="287" spans="4:4">
      <c r="D287" s="3"/>
    </row>
    <row r="290" spans="4:4">
      <c r="D290" s="3"/>
    </row>
    <row r="293" spans="4:4">
      <c r="D293" s="3"/>
    </row>
    <row r="296" spans="4:4">
      <c r="D296" s="3"/>
    </row>
    <row r="299" spans="4:4">
      <c r="D299" s="3"/>
    </row>
    <row r="302" spans="4:4">
      <c r="D302" s="3"/>
    </row>
    <row r="305" spans="4:4">
      <c r="D305" s="3"/>
    </row>
    <row r="308" spans="4:4">
      <c r="D308" s="3"/>
    </row>
    <row r="311" spans="4:4">
      <c r="D311" s="3"/>
    </row>
    <row r="314" spans="4:4">
      <c r="D314" s="3"/>
    </row>
    <row r="317" spans="4:4">
      <c r="D317" s="3"/>
    </row>
    <row r="320" spans="4:4">
      <c r="D320" s="3"/>
    </row>
    <row r="323" spans="4:4">
      <c r="D323" s="3"/>
    </row>
    <row r="326" spans="4:4">
      <c r="D326" s="3"/>
    </row>
    <row r="329" spans="4:4">
      <c r="D329" s="3"/>
    </row>
    <row r="332" spans="4:4">
      <c r="D332" s="3"/>
    </row>
    <row r="335" spans="4:4">
      <c r="D335" s="3"/>
    </row>
    <row r="338" spans="4:4">
      <c r="D338" s="3"/>
    </row>
    <row r="341" spans="4:4">
      <c r="D341" s="3"/>
    </row>
    <row r="344" spans="4:4">
      <c r="D344" s="3"/>
    </row>
    <row r="347" spans="4:4">
      <c r="D347" s="3"/>
    </row>
    <row r="350" spans="4:4">
      <c r="D350" s="3"/>
    </row>
    <row r="353" spans="4:4">
      <c r="D353" s="3"/>
    </row>
    <row r="356" spans="4:4">
      <c r="D356" s="3"/>
    </row>
    <row r="359" spans="4:4">
      <c r="D359" s="3"/>
    </row>
    <row r="362" spans="4:4">
      <c r="D362" s="3"/>
    </row>
    <row r="365" spans="4:4">
      <c r="D365" s="3"/>
    </row>
    <row r="368" spans="4:4">
      <c r="D368" s="3"/>
    </row>
    <row r="371" spans="4:4">
      <c r="D371" s="3"/>
    </row>
    <row r="374" spans="4:4">
      <c r="D374" s="3"/>
    </row>
    <row r="377" spans="4:4">
      <c r="D377" s="3"/>
    </row>
    <row r="380" spans="4:4">
      <c r="D380" s="3"/>
    </row>
    <row r="383" spans="4:4">
      <c r="D383" s="3"/>
    </row>
    <row r="386" spans="4:4">
      <c r="D386" s="3"/>
    </row>
    <row r="389" spans="4:4">
      <c r="D389" s="3"/>
    </row>
    <row r="392" spans="4:4">
      <c r="D392" s="3"/>
    </row>
    <row r="395" spans="4:4">
      <c r="D395" s="3"/>
    </row>
    <row r="398" spans="4:4">
      <c r="D398" s="3"/>
    </row>
    <row r="401" spans="4:4">
      <c r="D401" s="3"/>
    </row>
    <row r="404" spans="4:4">
      <c r="D404" s="3"/>
    </row>
    <row r="407" spans="4:4">
      <c r="D407" s="3"/>
    </row>
    <row r="410" spans="4:4">
      <c r="D410" s="3"/>
    </row>
    <row r="413" spans="4:4">
      <c r="D413" s="3"/>
    </row>
    <row r="416" spans="4:4">
      <c r="D416" s="3"/>
    </row>
    <row r="419" spans="4:4">
      <c r="D419" s="3"/>
    </row>
    <row r="422" spans="4:4">
      <c r="D422" s="3"/>
    </row>
    <row r="425" spans="4:4">
      <c r="D425" s="3"/>
    </row>
    <row r="428" spans="4:4">
      <c r="D428" s="3"/>
    </row>
    <row r="431" spans="4:4">
      <c r="D431" s="3"/>
    </row>
    <row r="434" spans="4:4">
      <c r="D434" s="3"/>
    </row>
    <row r="437" spans="4:4">
      <c r="D437" s="3"/>
    </row>
    <row r="440" spans="4:4">
      <c r="D440" s="3"/>
    </row>
    <row r="443" spans="4:4">
      <c r="D443" s="3"/>
    </row>
    <row r="446" spans="4:4">
      <c r="D446" s="3"/>
    </row>
    <row r="449" spans="4:4">
      <c r="D449" s="3"/>
    </row>
    <row r="452" spans="4:4">
      <c r="D452" s="3"/>
    </row>
    <row r="455" spans="4:4">
      <c r="D455" s="3"/>
    </row>
    <row r="458" spans="4:4">
      <c r="D458" s="3"/>
    </row>
    <row r="461" spans="4:4">
      <c r="D461" s="3"/>
    </row>
    <row r="464" spans="4:4">
      <c r="D464" s="3"/>
    </row>
    <row r="467" spans="4:4">
      <c r="D467" s="3"/>
    </row>
    <row r="470" spans="4:4">
      <c r="D470" s="3"/>
    </row>
    <row r="473" spans="4:4">
      <c r="D473" s="3"/>
    </row>
    <row r="476" spans="4:4">
      <c r="D476" s="3"/>
    </row>
    <row r="479" spans="4:4">
      <c r="D479" s="3"/>
    </row>
    <row r="482" spans="4:4">
      <c r="D482" s="3"/>
    </row>
    <row r="485" spans="4:4">
      <c r="D485" s="3"/>
    </row>
    <row r="488" spans="4:4">
      <c r="D488" s="3"/>
    </row>
    <row r="491" spans="4:4">
      <c r="D491" s="3"/>
    </row>
    <row r="494" spans="4:4">
      <c r="D494" s="3"/>
    </row>
    <row r="497" spans="4:4">
      <c r="D497" s="3"/>
    </row>
    <row r="500" spans="4:4">
      <c r="D500" s="3"/>
    </row>
    <row r="503" spans="4:4">
      <c r="D503" s="3"/>
    </row>
    <row r="506" spans="4:4">
      <c r="D506" s="3"/>
    </row>
    <row r="509" spans="4:4">
      <c r="D509" s="3"/>
    </row>
    <row r="512" spans="4:4">
      <c r="D512" s="3"/>
    </row>
    <row r="515" spans="4:4">
      <c r="D515" s="3"/>
    </row>
    <row r="518" spans="4:4">
      <c r="D518" s="3"/>
    </row>
    <row r="521" spans="4:4">
      <c r="D521" s="3"/>
    </row>
    <row r="524" spans="4:4">
      <c r="D524" s="3"/>
    </row>
    <row r="527" spans="4:4">
      <c r="D527" s="3"/>
    </row>
    <row r="530" spans="4:4">
      <c r="D530" s="3"/>
    </row>
    <row r="533" spans="4:4">
      <c r="D533" s="3"/>
    </row>
    <row r="536" spans="4:4">
      <c r="D536" s="3"/>
    </row>
    <row r="539" spans="4:4">
      <c r="D539" s="3"/>
    </row>
    <row r="542" spans="4:4">
      <c r="D542" s="3"/>
    </row>
    <row r="545" spans="4:4">
      <c r="D545" s="3"/>
    </row>
    <row r="548" spans="4:4">
      <c r="D548" s="3"/>
    </row>
    <row r="551" spans="4:4">
      <c r="D551" s="3"/>
    </row>
    <row r="554" spans="4:4">
      <c r="D554" s="3"/>
    </row>
    <row r="557" spans="4:4">
      <c r="D557" s="3"/>
    </row>
    <row r="560" spans="4:4">
      <c r="D560" s="3"/>
    </row>
    <row r="563" spans="4:4">
      <c r="D563" s="3"/>
    </row>
    <row r="566" spans="4:4">
      <c r="D566" s="3"/>
    </row>
    <row r="569" spans="4:4">
      <c r="D569" s="3"/>
    </row>
    <row r="572" spans="4:4">
      <c r="D572" s="3"/>
    </row>
    <row r="575" spans="4:4">
      <c r="D575" s="3"/>
    </row>
    <row r="578" spans="4:4">
      <c r="D578" s="3"/>
    </row>
    <row r="581" spans="4:4">
      <c r="D581" s="3"/>
    </row>
    <row r="584" spans="4:4">
      <c r="D584" s="3"/>
    </row>
    <row r="587" spans="4:4">
      <c r="D587" s="3"/>
    </row>
    <row r="590" spans="4:4">
      <c r="D590" s="3"/>
    </row>
    <row r="593" spans="4:4">
      <c r="D593" s="3"/>
    </row>
    <row r="596" spans="4:4">
      <c r="D596" s="3"/>
    </row>
    <row r="599" spans="4:4">
      <c r="D599" s="3"/>
    </row>
    <row r="602" spans="4:4">
      <c r="D602" s="3"/>
    </row>
    <row r="605" spans="4:4">
      <c r="D605" s="3"/>
    </row>
    <row r="608" spans="4:4">
      <c r="D608" s="3"/>
    </row>
    <row r="611" spans="4:4">
      <c r="D611" s="3"/>
    </row>
    <row r="614" spans="4:4">
      <c r="D614" s="3"/>
    </row>
    <row r="617" spans="4:4">
      <c r="D617" s="3"/>
    </row>
    <row r="620" spans="4:4">
      <c r="D620" s="3"/>
    </row>
    <row r="623" spans="4:4">
      <c r="D623" s="3"/>
    </row>
    <row r="626" spans="4:4">
      <c r="D626" s="3"/>
    </row>
    <row r="629" spans="4:4">
      <c r="D629" s="3"/>
    </row>
    <row r="632" spans="4:4">
      <c r="D632" s="3"/>
    </row>
    <row r="635" spans="4:4">
      <c r="D635" s="3"/>
    </row>
    <row r="638" spans="4:4">
      <c r="D638" s="3"/>
    </row>
    <row r="641" spans="4:4">
      <c r="D641" s="3"/>
    </row>
    <row r="644" spans="4:4">
      <c r="D644" s="3"/>
    </row>
    <row r="647" spans="4:4">
      <c r="D647" s="3"/>
    </row>
    <row r="650" spans="4:4">
      <c r="D650" s="3"/>
    </row>
    <row r="653" spans="4:4">
      <c r="D653" s="3"/>
    </row>
    <row r="656" spans="4:4">
      <c r="D656" s="3"/>
    </row>
    <row r="659" spans="4:4">
      <c r="D659" s="3"/>
    </row>
    <row r="662" spans="4:4">
      <c r="D662" s="3"/>
    </row>
    <row r="665" spans="4:4">
      <c r="D665" s="3"/>
    </row>
    <row r="668" spans="4:4">
      <c r="D668" s="3"/>
    </row>
    <row r="671" spans="4:4">
      <c r="D671" s="3"/>
    </row>
    <row r="674" spans="4:4">
      <c r="D674" s="3"/>
    </row>
    <row r="677" spans="4:4">
      <c r="D677" s="3"/>
    </row>
    <row r="680" spans="4:4">
      <c r="D680" s="3"/>
    </row>
    <row r="683" spans="4:4">
      <c r="D683" s="3"/>
    </row>
    <row r="686" spans="4:4">
      <c r="D686" s="3"/>
    </row>
    <row r="689" spans="4:4">
      <c r="D689" s="3"/>
    </row>
    <row r="692" spans="4:4">
      <c r="D692" s="3"/>
    </row>
    <row r="695" spans="4:4">
      <c r="D695" s="3"/>
    </row>
    <row r="698" spans="4:4">
      <c r="D698" s="3"/>
    </row>
    <row r="701" spans="4:4">
      <c r="D701" s="3"/>
    </row>
    <row r="704" spans="4:4">
      <c r="D704" s="3"/>
    </row>
    <row r="707" spans="4:4">
      <c r="D707" s="3"/>
    </row>
    <row r="710" spans="4:4">
      <c r="D710" s="3"/>
    </row>
    <row r="713" spans="4:4">
      <c r="D713" s="3"/>
    </row>
    <row r="716" spans="4:4">
      <c r="D716" s="3"/>
    </row>
    <row r="719" spans="4:4">
      <c r="D719" s="3"/>
    </row>
    <row r="722" spans="4:4">
      <c r="D722" s="3"/>
    </row>
    <row r="725" spans="4:4">
      <c r="D725" s="3"/>
    </row>
    <row r="728" spans="4:4">
      <c r="D728" s="3"/>
    </row>
    <row r="731" spans="4:4">
      <c r="D731" s="3"/>
    </row>
    <row r="734" spans="4:4">
      <c r="D734" s="3"/>
    </row>
    <row r="737" spans="4:4">
      <c r="D737" s="3"/>
    </row>
  </sheetData>
  <sortState ref="A2:L973">
    <sortCondition descending="1" ref="G2:G973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3"/>
  <sheetViews>
    <sheetView workbookViewId="0">
      <selection activeCell="G2" sqref="G2"/>
    </sheetView>
  </sheetViews>
  <sheetFormatPr baseColWidth="10" defaultRowHeight="15" x14ac:dyDescent="0"/>
  <cols>
    <col min="1" max="1" width="10.83203125" style="5"/>
    <col min="2" max="2" width="25.33203125" style="8" bestFit="1" customWidth="1"/>
    <col min="5" max="5" width="26" customWidth="1"/>
    <col min="6" max="9" width="10.83203125" style="14"/>
    <col min="10" max="10" width="13" style="14" customWidth="1"/>
    <col min="11" max="12" width="10.83203125" style="14"/>
  </cols>
  <sheetData>
    <row r="1" spans="1:16">
      <c r="A1" s="5" t="s">
        <v>157</v>
      </c>
      <c r="B1" s="8" t="s">
        <v>158</v>
      </c>
      <c r="C1" t="s">
        <v>156</v>
      </c>
      <c r="D1" t="s">
        <v>167</v>
      </c>
      <c r="E1" t="s">
        <v>166</v>
      </c>
      <c r="F1" s="14" t="s">
        <v>159</v>
      </c>
      <c r="G1" s="14" t="s">
        <v>160</v>
      </c>
      <c r="H1" s="14" t="s">
        <v>162</v>
      </c>
      <c r="I1" s="14" t="s">
        <v>163</v>
      </c>
      <c r="J1" s="14" t="s">
        <v>168</v>
      </c>
      <c r="K1" s="14" t="s">
        <v>161</v>
      </c>
      <c r="L1" s="14" t="s">
        <v>156</v>
      </c>
      <c r="M1" t="s">
        <v>164</v>
      </c>
      <c r="N1" t="s">
        <v>165</v>
      </c>
      <c r="O1" t="s">
        <v>155</v>
      </c>
      <c r="P1" t="s">
        <v>156</v>
      </c>
    </row>
    <row r="2" spans="1:16" ht="16">
      <c r="A2" s="10" t="s">
        <v>0</v>
      </c>
      <c r="B2" s="11" t="s">
        <v>183</v>
      </c>
      <c r="C2" s="10">
        <v>32.299999999999997</v>
      </c>
      <c r="D2" s="10">
        <v>15</v>
      </c>
      <c r="E2" s="10" t="s">
        <v>184</v>
      </c>
      <c r="F2" s="15">
        <v>8300</v>
      </c>
      <c r="G2" s="16">
        <v>0</v>
      </c>
      <c r="H2" s="14">
        <f>IF(A2="G",1,0)*G2</f>
        <v>0</v>
      </c>
      <c r="I2" s="14">
        <f>IF(A2="F",1,0)*G2</f>
        <v>0</v>
      </c>
      <c r="J2" s="17">
        <f>F2/C2</f>
        <v>256.96594427244582</v>
      </c>
      <c r="K2" s="18">
        <f>F2*G2</f>
        <v>0</v>
      </c>
      <c r="L2" s="14">
        <f>G2*C2</f>
        <v>0</v>
      </c>
      <c r="M2">
        <f>SUM(I2:I142)</f>
        <v>5</v>
      </c>
      <c r="N2">
        <f>SUM(H2:H142)</f>
        <v>4</v>
      </c>
      <c r="O2" s="3">
        <f>SUM(K2:K142)</f>
        <v>60000</v>
      </c>
      <c r="P2">
        <f>SUM(L2:L142)</f>
        <v>233</v>
      </c>
    </row>
    <row r="3" spans="1:16" ht="16">
      <c r="A3" s="10" t="s">
        <v>0</v>
      </c>
      <c r="B3" s="11" t="s">
        <v>195</v>
      </c>
      <c r="C3" s="10">
        <v>31.4</v>
      </c>
      <c r="D3" s="10">
        <v>12</v>
      </c>
      <c r="E3" s="13" t="s">
        <v>388</v>
      </c>
      <c r="F3" s="15">
        <v>7900</v>
      </c>
      <c r="G3" s="16">
        <v>1</v>
      </c>
      <c r="H3" s="14">
        <f>IF(A3="G",1,0)*G3</f>
        <v>1</v>
      </c>
      <c r="I3" s="14">
        <f>IF(A3="F",1,0)*G3</f>
        <v>0</v>
      </c>
      <c r="J3" s="17">
        <f>F3/C3</f>
        <v>251.5923566878981</v>
      </c>
      <c r="K3" s="18">
        <f>F3*G3</f>
        <v>7900</v>
      </c>
      <c r="L3" s="14">
        <f>G3*C3</f>
        <v>31.4</v>
      </c>
    </row>
    <row r="4" spans="1:16" ht="16">
      <c r="A4" s="10" t="s">
        <v>3</v>
      </c>
      <c r="B4" s="11" t="s">
        <v>198</v>
      </c>
      <c r="C4" s="10">
        <v>30.2</v>
      </c>
      <c r="D4" s="10">
        <v>13</v>
      </c>
      <c r="E4" s="13" t="s">
        <v>390</v>
      </c>
      <c r="F4" s="15">
        <v>7800</v>
      </c>
      <c r="G4" s="16">
        <v>1</v>
      </c>
      <c r="H4" s="14">
        <f>IF(A4="G",1,0)*G4</f>
        <v>0</v>
      </c>
      <c r="I4" s="14">
        <f>IF(A4="F",1,0)*G4</f>
        <v>1</v>
      </c>
      <c r="J4" s="17">
        <f>F4/C4</f>
        <v>258.27814569536423</v>
      </c>
      <c r="K4" s="18">
        <f>F4*G4</f>
        <v>7800</v>
      </c>
      <c r="L4" s="14">
        <f>G4*C4</f>
        <v>30.2</v>
      </c>
    </row>
    <row r="5" spans="1:16" ht="16">
      <c r="A5" s="10" t="s">
        <v>0</v>
      </c>
      <c r="B5" s="11" t="s">
        <v>208</v>
      </c>
      <c r="C5" s="10">
        <v>29</v>
      </c>
      <c r="D5" s="10">
        <v>11</v>
      </c>
      <c r="E5" s="10" t="s">
        <v>191</v>
      </c>
      <c r="F5" s="15">
        <v>7400</v>
      </c>
      <c r="G5" s="16">
        <v>1</v>
      </c>
      <c r="H5" s="14">
        <f>IF(A5="G",1,0)*G5</f>
        <v>1</v>
      </c>
      <c r="I5" s="14">
        <f>IF(A5="F",1,0)*G5</f>
        <v>0</v>
      </c>
      <c r="J5" s="17">
        <f>F5/C5</f>
        <v>255.17241379310346</v>
      </c>
      <c r="K5" s="18">
        <f>F5*G5</f>
        <v>7400</v>
      </c>
      <c r="L5" s="14">
        <f>G5*C5</f>
        <v>29</v>
      </c>
    </row>
    <row r="6" spans="1:16" ht="16">
      <c r="A6" s="10" t="s">
        <v>0</v>
      </c>
      <c r="B6" s="11" t="s">
        <v>238</v>
      </c>
      <c r="C6" s="10">
        <v>23.8</v>
      </c>
      <c r="D6" s="10">
        <v>14</v>
      </c>
      <c r="E6" s="10" t="s">
        <v>239</v>
      </c>
      <c r="F6" s="15">
        <v>6300</v>
      </c>
      <c r="G6" s="16">
        <v>0</v>
      </c>
      <c r="H6" s="14">
        <f>IF(A6="G",1,0)*G6</f>
        <v>0</v>
      </c>
      <c r="I6" s="14">
        <f>IF(A6="F",1,0)*G6</f>
        <v>0</v>
      </c>
      <c r="J6" s="17">
        <f>F6/C6</f>
        <v>264.70588235294116</v>
      </c>
      <c r="K6" s="18">
        <f>F6*G6</f>
        <v>0</v>
      </c>
      <c r="L6" s="14">
        <f>G6*C6</f>
        <v>0</v>
      </c>
    </row>
    <row r="7" spans="1:16" ht="16">
      <c r="A7" s="10" t="s">
        <v>3</v>
      </c>
      <c r="B7" s="11" t="s">
        <v>267</v>
      </c>
      <c r="C7" s="10">
        <v>22.4</v>
      </c>
      <c r="D7" s="10">
        <v>13</v>
      </c>
      <c r="E7" s="13" t="s">
        <v>395</v>
      </c>
      <c r="F7" s="15">
        <v>5800</v>
      </c>
      <c r="G7" s="16">
        <v>1</v>
      </c>
      <c r="H7" s="14">
        <f>IF(A7="G",1,0)*G7</f>
        <v>0</v>
      </c>
      <c r="I7" s="14">
        <f>IF(A7="F",1,0)*G7</f>
        <v>1</v>
      </c>
      <c r="J7" s="17">
        <f>F7/C7</f>
        <v>258.92857142857144</v>
      </c>
      <c r="K7" s="18">
        <f>F7*G7</f>
        <v>5800</v>
      </c>
      <c r="L7" s="14">
        <f>G7*C7</f>
        <v>22.4</v>
      </c>
    </row>
    <row r="8" spans="1:16" ht="16">
      <c r="A8" s="10" t="s">
        <v>3</v>
      </c>
      <c r="B8" s="11" t="s">
        <v>320</v>
      </c>
      <c r="C8" s="10">
        <v>19.899999999999999</v>
      </c>
      <c r="D8" s="10">
        <v>12</v>
      </c>
      <c r="E8" s="10" t="s">
        <v>189</v>
      </c>
      <c r="F8" s="15">
        <v>5100</v>
      </c>
      <c r="G8" s="16">
        <v>1</v>
      </c>
      <c r="H8" s="14">
        <f>IF(A8="G",1,0)*G8</f>
        <v>0</v>
      </c>
      <c r="I8" s="14">
        <f>IF(A8="F",1,0)*G8</f>
        <v>1</v>
      </c>
      <c r="J8" s="17">
        <f>F8/C8</f>
        <v>256.2814070351759</v>
      </c>
      <c r="K8" s="18">
        <f>F8*G8</f>
        <v>5100</v>
      </c>
      <c r="L8" s="14">
        <f>G8*C8</f>
        <v>19.899999999999999</v>
      </c>
    </row>
    <row r="9" spans="1:16" ht="16">
      <c r="A9" s="10" t="s">
        <v>0</v>
      </c>
      <c r="B9" s="11" t="s">
        <v>176</v>
      </c>
      <c r="C9" s="10">
        <v>32.6</v>
      </c>
      <c r="D9" s="10">
        <v>14</v>
      </c>
      <c r="E9" s="10" t="s">
        <v>177</v>
      </c>
      <c r="F9" s="15">
        <v>9200</v>
      </c>
      <c r="G9" s="16">
        <v>0</v>
      </c>
      <c r="H9" s="14">
        <f>IF(A9="G",1,0)*G9</f>
        <v>0</v>
      </c>
      <c r="I9" s="14">
        <f>IF(A9="F",1,0)*G9</f>
        <v>0</v>
      </c>
      <c r="J9" s="17">
        <f>F9/C9</f>
        <v>282.20858895705521</v>
      </c>
      <c r="K9" s="18">
        <f>F9*G9</f>
        <v>0</v>
      </c>
      <c r="L9" s="14">
        <f>G9*C9</f>
        <v>0</v>
      </c>
    </row>
    <row r="10" spans="1:16" ht="16">
      <c r="A10" s="10" t="s">
        <v>3</v>
      </c>
      <c r="B10" s="11" t="s">
        <v>178</v>
      </c>
      <c r="C10" s="10">
        <v>31.9</v>
      </c>
      <c r="D10" s="10">
        <v>15</v>
      </c>
      <c r="E10" s="13" t="s">
        <v>385</v>
      </c>
      <c r="F10" s="15">
        <v>8700</v>
      </c>
      <c r="G10" s="16">
        <v>0</v>
      </c>
      <c r="H10" s="14">
        <f>IF(A10="G",1,0)*G10</f>
        <v>0</v>
      </c>
      <c r="I10" s="14">
        <f>IF(A10="F",1,0)*G10</f>
        <v>0</v>
      </c>
      <c r="J10" s="17">
        <f>F10/C10</f>
        <v>272.72727272727275</v>
      </c>
      <c r="K10" s="18">
        <f>F10*G10</f>
        <v>0</v>
      </c>
      <c r="L10" s="14">
        <f>G10*C10</f>
        <v>0</v>
      </c>
    </row>
    <row r="11" spans="1:16" ht="16">
      <c r="A11" s="10" t="s">
        <v>0</v>
      </c>
      <c r="B11" s="11" t="s">
        <v>180</v>
      </c>
      <c r="C11" s="10">
        <v>32.1</v>
      </c>
      <c r="D11" s="10">
        <v>14</v>
      </c>
      <c r="E11" s="13" t="s">
        <v>385</v>
      </c>
      <c r="F11" s="15">
        <v>8600</v>
      </c>
      <c r="G11" s="16">
        <v>0</v>
      </c>
      <c r="H11" s="14">
        <f>IF(A11="G",1,0)*G11</f>
        <v>0</v>
      </c>
      <c r="I11" s="14">
        <f>IF(A11="F",1,0)*G11</f>
        <v>0</v>
      </c>
      <c r="J11" s="17">
        <f>F11/C11</f>
        <v>267.91277258566976</v>
      </c>
      <c r="K11" s="18">
        <f>F11*G11</f>
        <v>0</v>
      </c>
      <c r="L11" s="14">
        <f>G11*C11</f>
        <v>0</v>
      </c>
    </row>
    <row r="12" spans="1:16" ht="16">
      <c r="A12" s="10" t="s">
        <v>0</v>
      </c>
      <c r="B12" s="11" t="s">
        <v>181</v>
      </c>
      <c r="C12" s="10">
        <v>31.3</v>
      </c>
      <c r="D12" s="10">
        <v>15</v>
      </c>
      <c r="E12" s="13" t="s">
        <v>386</v>
      </c>
      <c r="F12" s="15">
        <v>8400</v>
      </c>
      <c r="G12" s="16">
        <v>0</v>
      </c>
      <c r="H12" s="14">
        <f>IF(A12="G",1,0)*G12</f>
        <v>0</v>
      </c>
      <c r="I12" s="14">
        <f>IF(A12="F",1,0)*G12</f>
        <v>0</v>
      </c>
      <c r="J12" s="17">
        <f>F12/C12</f>
        <v>268.37060702875397</v>
      </c>
      <c r="K12" s="18">
        <f>F12*G12</f>
        <v>0</v>
      </c>
      <c r="L12" s="14">
        <f>G12*C12</f>
        <v>0</v>
      </c>
    </row>
    <row r="13" spans="1:16" ht="16">
      <c r="A13" s="10" t="s">
        <v>0</v>
      </c>
      <c r="B13" s="11" t="s">
        <v>185</v>
      </c>
      <c r="C13" s="10">
        <v>31.7</v>
      </c>
      <c r="D13" s="10">
        <v>14</v>
      </c>
      <c r="E13" s="10" t="s">
        <v>177</v>
      </c>
      <c r="F13" s="15">
        <v>8200</v>
      </c>
      <c r="G13" s="16">
        <v>1</v>
      </c>
      <c r="H13" s="14">
        <f>IF(A13="G",1,0)*G13</f>
        <v>1</v>
      </c>
      <c r="I13" s="14">
        <f>IF(A13="F",1,0)*G13</f>
        <v>0</v>
      </c>
      <c r="J13" s="17">
        <f>F13/C13</f>
        <v>258.67507886435334</v>
      </c>
      <c r="K13" s="18">
        <f>F13*G13</f>
        <v>8200</v>
      </c>
      <c r="L13" s="14">
        <f>G13*C13</f>
        <v>31.7</v>
      </c>
    </row>
    <row r="14" spans="1:16" ht="16">
      <c r="A14" s="10" t="s">
        <v>3</v>
      </c>
      <c r="B14" s="11" t="s">
        <v>186</v>
      </c>
      <c r="C14" s="10">
        <v>29.3</v>
      </c>
      <c r="D14" s="10">
        <v>13</v>
      </c>
      <c r="E14" s="10" t="s">
        <v>187</v>
      </c>
      <c r="F14" s="15">
        <v>8100</v>
      </c>
      <c r="G14" s="16">
        <v>0</v>
      </c>
      <c r="H14" s="14">
        <f>IF(A14="G",1,0)*G14</f>
        <v>0</v>
      </c>
      <c r="I14" s="14">
        <f>IF(A14="F",1,0)*G14</f>
        <v>0</v>
      </c>
      <c r="J14" s="17">
        <f>F14/C14</f>
        <v>276.45051194539246</v>
      </c>
      <c r="K14" s="18">
        <f>F14*G14</f>
        <v>0</v>
      </c>
      <c r="L14" s="14">
        <f>G14*C14</f>
        <v>0</v>
      </c>
    </row>
    <row r="15" spans="1:16" ht="16">
      <c r="A15" s="10" t="s">
        <v>0</v>
      </c>
      <c r="B15" s="11" t="s">
        <v>192</v>
      </c>
      <c r="C15" s="10">
        <v>28.8</v>
      </c>
      <c r="D15" s="10">
        <v>14</v>
      </c>
      <c r="E15" s="13" t="s">
        <v>387</v>
      </c>
      <c r="F15" s="15">
        <v>8000</v>
      </c>
      <c r="G15" s="16">
        <v>0</v>
      </c>
      <c r="H15" s="14">
        <f>IF(A15="G",1,0)*G15</f>
        <v>0</v>
      </c>
      <c r="I15" s="14">
        <f>IF(A15="F",1,0)*G15</f>
        <v>0</v>
      </c>
      <c r="J15" s="17">
        <f>F15/C15</f>
        <v>277.77777777777777</v>
      </c>
      <c r="K15" s="18">
        <f>F15*G15</f>
        <v>0</v>
      </c>
      <c r="L15" s="14">
        <f>G15*C15</f>
        <v>0</v>
      </c>
    </row>
    <row r="16" spans="1:16" ht="16">
      <c r="A16" s="10" t="s">
        <v>0</v>
      </c>
      <c r="B16" s="11" t="s">
        <v>193</v>
      </c>
      <c r="C16" s="10">
        <v>28.4</v>
      </c>
      <c r="D16" s="10">
        <v>13</v>
      </c>
      <c r="E16" s="10" t="s">
        <v>194</v>
      </c>
      <c r="F16" s="15">
        <v>8000</v>
      </c>
      <c r="G16" s="16">
        <v>0</v>
      </c>
      <c r="H16" s="14">
        <f>IF(A16="G",1,0)*G16</f>
        <v>0</v>
      </c>
      <c r="I16" s="14">
        <f>IF(A16="F",1,0)*G16</f>
        <v>0</v>
      </c>
      <c r="J16" s="17">
        <f>F16/C16</f>
        <v>281.69014084507046</v>
      </c>
      <c r="K16" s="18">
        <f>F16*G16</f>
        <v>0</v>
      </c>
      <c r="L16" s="14">
        <f>G16*C16</f>
        <v>0</v>
      </c>
    </row>
    <row r="17" spans="1:12" ht="16">
      <c r="A17" s="10" t="s">
        <v>0</v>
      </c>
      <c r="B17" s="11" t="s">
        <v>188</v>
      </c>
      <c r="C17" s="10">
        <v>28.3</v>
      </c>
      <c r="D17" s="10">
        <v>12</v>
      </c>
      <c r="E17" s="10" t="s">
        <v>189</v>
      </c>
      <c r="F17" s="15">
        <v>8000</v>
      </c>
      <c r="G17" s="16">
        <v>0</v>
      </c>
      <c r="H17" s="14">
        <f>IF(A17="G",1,0)*G17</f>
        <v>0</v>
      </c>
      <c r="I17" s="14">
        <f>IF(A17="F",1,0)*G17</f>
        <v>0</v>
      </c>
      <c r="J17" s="17">
        <f>F17/C17</f>
        <v>282.68551236749119</v>
      </c>
      <c r="K17" s="18">
        <f>F17*G17</f>
        <v>0</v>
      </c>
      <c r="L17" s="14">
        <f>G17*C17</f>
        <v>0</v>
      </c>
    </row>
    <row r="18" spans="1:12" ht="16">
      <c r="A18" s="10" t="s">
        <v>3</v>
      </c>
      <c r="B18" s="11" t="s">
        <v>190</v>
      </c>
      <c r="C18" s="10">
        <v>27.1</v>
      </c>
      <c r="D18" s="10">
        <v>12</v>
      </c>
      <c r="E18" s="10" t="s">
        <v>191</v>
      </c>
      <c r="F18" s="15">
        <v>8000</v>
      </c>
      <c r="G18" s="16">
        <v>0</v>
      </c>
      <c r="H18" s="14">
        <f>IF(A18="G",1,0)*G18</f>
        <v>0</v>
      </c>
      <c r="I18" s="14">
        <f>IF(A18="F",1,0)*G18</f>
        <v>0</v>
      </c>
      <c r="J18" s="17">
        <f>F18/C18</f>
        <v>295.2029520295203</v>
      </c>
      <c r="K18" s="18">
        <f>F18*G18</f>
        <v>0</v>
      </c>
      <c r="L18" s="14">
        <f>G18*C18</f>
        <v>0</v>
      </c>
    </row>
    <row r="19" spans="1:12" ht="16">
      <c r="A19" s="10" t="s">
        <v>3</v>
      </c>
      <c r="B19" s="11" t="s">
        <v>197</v>
      </c>
      <c r="C19" s="10">
        <v>28.1</v>
      </c>
      <c r="D19" s="10">
        <v>12</v>
      </c>
      <c r="E19" s="13" t="s">
        <v>389</v>
      </c>
      <c r="F19" s="15">
        <v>7900</v>
      </c>
      <c r="G19" s="16">
        <v>0</v>
      </c>
      <c r="H19" s="14">
        <f>IF(A19="G",1,0)*G19</f>
        <v>0</v>
      </c>
      <c r="I19" s="14">
        <f>IF(A19="F",1,0)*G19</f>
        <v>0</v>
      </c>
      <c r="J19" s="17">
        <f>F19/C19</f>
        <v>281.13879003558719</v>
      </c>
      <c r="K19" s="18">
        <f>F19*G19</f>
        <v>0</v>
      </c>
      <c r="L19" s="14">
        <f>G19*C19</f>
        <v>0</v>
      </c>
    </row>
    <row r="20" spans="1:12" ht="16">
      <c r="A20" s="10" t="s">
        <v>3</v>
      </c>
      <c r="B20" s="11" t="s">
        <v>200</v>
      </c>
      <c r="C20" s="10">
        <v>28.9</v>
      </c>
      <c r="D20" s="10">
        <v>13</v>
      </c>
      <c r="E20" s="13" t="s">
        <v>391</v>
      </c>
      <c r="F20" s="15">
        <v>7800</v>
      </c>
      <c r="G20" s="16">
        <v>1</v>
      </c>
      <c r="H20" s="14">
        <f>IF(A20="G",1,0)*G20</f>
        <v>0</v>
      </c>
      <c r="I20" s="14">
        <f>IF(A20="F",1,0)*G20</f>
        <v>1</v>
      </c>
      <c r="J20" s="17">
        <f>F20/C20</f>
        <v>269.89619377162632</v>
      </c>
      <c r="K20" s="18">
        <f>F20*G20</f>
        <v>7800</v>
      </c>
      <c r="L20" s="14">
        <f>G20*C20</f>
        <v>28.9</v>
      </c>
    </row>
    <row r="21" spans="1:12" ht="16">
      <c r="A21" s="10" t="s">
        <v>0</v>
      </c>
      <c r="B21" s="11" t="s">
        <v>201</v>
      </c>
      <c r="C21" s="10">
        <v>26.8</v>
      </c>
      <c r="D21" s="10">
        <v>13</v>
      </c>
      <c r="E21" s="13" t="s">
        <v>389</v>
      </c>
      <c r="F21" s="15">
        <v>7600</v>
      </c>
      <c r="G21" s="16">
        <v>0</v>
      </c>
      <c r="H21" s="14">
        <f>IF(A21="G",1,0)*G21</f>
        <v>0</v>
      </c>
      <c r="I21" s="14">
        <f>IF(A21="F",1,0)*G21</f>
        <v>0</v>
      </c>
      <c r="J21" s="17">
        <f>F21/C21</f>
        <v>283.58208955223881</v>
      </c>
      <c r="K21" s="18">
        <f>F21*G21</f>
        <v>0</v>
      </c>
      <c r="L21" s="14">
        <f>G21*C21</f>
        <v>0</v>
      </c>
    </row>
    <row r="22" spans="1:12" ht="16">
      <c r="A22" s="10" t="s">
        <v>3</v>
      </c>
      <c r="B22" s="11" t="s">
        <v>202</v>
      </c>
      <c r="C22" s="10">
        <v>25.8</v>
      </c>
      <c r="D22" s="10">
        <v>12</v>
      </c>
      <c r="E22" s="10" t="s">
        <v>199</v>
      </c>
      <c r="F22" s="15">
        <v>7600</v>
      </c>
      <c r="G22" s="16">
        <v>0</v>
      </c>
      <c r="H22" s="14">
        <f>IF(A22="G",1,0)*G22</f>
        <v>0</v>
      </c>
      <c r="I22" s="14">
        <f>IF(A22="F",1,0)*G22</f>
        <v>0</v>
      </c>
      <c r="J22" s="17">
        <f>F22/C22</f>
        <v>294.5736434108527</v>
      </c>
      <c r="K22" s="18">
        <f>F22*G22</f>
        <v>0</v>
      </c>
      <c r="L22" s="14">
        <f>G22*C22</f>
        <v>0</v>
      </c>
    </row>
    <row r="23" spans="1:12" ht="16">
      <c r="A23" s="10" t="s">
        <v>3</v>
      </c>
      <c r="B23" s="11" t="s">
        <v>205</v>
      </c>
      <c r="C23" s="10">
        <v>26.7</v>
      </c>
      <c r="D23" s="10">
        <v>14</v>
      </c>
      <c r="E23" s="13" t="s">
        <v>392</v>
      </c>
      <c r="F23" s="15">
        <v>7500</v>
      </c>
      <c r="G23" s="16">
        <v>0</v>
      </c>
      <c r="H23" s="14">
        <f>IF(A23="G",1,0)*G23</f>
        <v>0</v>
      </c>
      <c r="I23" s="14">
        <f>IF(A23="F",1,0)*G23</f>
        <v>0</v>
      </c>
      <c r="J23" s="17">
        <f>F23/C23</f>
        <v>280.89887640449439</v>
      </c>
      <c r="K23" s="18">
        <f>F23*G23</f>
        <v>0</v>
      </c>
      <c r="L23" s="14">
        <f>G23*C23</f>
        <v>0</v>
      </c>
    </row>
    <row r="24" spans="1:12" ht="16">
      <c r="A24" s="10" t="s">
        <v>3</v>
      </c>
      <c r="B24" s="11" t="s">
        <v>206</v>
      </c>
      <c r="C24" s="10">
        <v>26.2</v>
      </c>
      <c r="D24" s="10">
        <v>14</v>
      </c>
      <c r="E24" s="10" t="s">
        <v>177</v>
      </c>
      <c r="F24" s="15">
        <v>7500</v>
      </c>
      <c r="G24" s="16">
        <v>0</v>
      </c>
      <c r="H24" s="14">
        <f>IF(A24="G",1,0)*G24</f>
        <v>0</v>
      </c>
      <c r="I24" s="14">
        <f>IF(A24="F",1,0)*G24</f>
        <v>0</v>
      </c>
      <c r="J24" s="17">
        <f>F24/C24</f>
        <v>286.25954198473283</v>
      </c>
      <c r="K24" s="18">
        <f>F24*G24</f>
        <v>0</v>
      </c>
      <c r="L24" s="14">
        <f>G24*C24</f>
        <v>0</v>
      </c>
    </row>
    <row r="25" spans="1:12" ht="16">
      <c r="A25" s="10" t="s">
        <v>3</v>
      </c>
      <c r="B25" s="11" t="s">
        <v>203</v>
      </c>
      <c r="C25" s="10">
        <v>25.2</v>
      </c>
      <c r="D25" s="10">
        <v>13</v>
      </c>
      <c r="E25" s="10" t="s">
        <v>204</v>
      </c>
      <c r="F25" s="15">
        <v>7500</v>
      </c>
      <c r="G25" s="16">
        <v>0</v>
      </c>
      <c r="H25" s="14">
        <f>IF(A25="G",1,0)*G25</f>
        <v>0</v>
      </c>
      <c r="I25" s="14">
        <f>IF(A25="F",1,0)*G25</f>
        <v>0</v>
      </c>
      <c r="J25" s="17">
        <f>F25/C25</f>
        <v>297.61904761904765</v>
      </c>
      <c r="K25" s="18">
        <f>F25*G25</f>
        <v>0</v>
      </c>
      <c r="L25" s="14">
        <f>G25*C25</f>
        <v>0</v>
      </c>
    </row>
    <row r="26" spans="1:12" ht="16">
      <c r="A26" s="10" t="s">
        <v>0</v>
      </c>
      <c r="B26" s="11" t="s">
        <v>211</v>
      </c>
      <c r="C26" s="10">
        <v>25.9</v>
      </c>
      <c r="D26" s="10">
        <v>13</v>
      </c>
      <c r="E26" s="10" t="s">
        <v>212</v>
      </c>
      <c r="F26" s="15">
        <v>7400</v>
      </c>
      <c r="G26" s="16">
        <v>0</v>
      </c>
      <c r="H26" s="14">
        <f>IF(A26="G",1,0)*G26</f>
        <v>0</v>
      </c>
      <c r="I26" s="14">
        <f>IF(A26="F",1,0)*G26</f>
        <v>0</v>
      </c>
      <c r="J26" s="17">
        <f>F26/C26</f>
        <v>285.71428571428572</v>
      </c>
      <c r="K26" s="18">
        <f>F26*G26</f>
        <v>0</v>
      </c>
      <c r="L26" s="14">
        <f>G26*C26</f>
        <v>0</v>
      </c>
    </row>
    <row r="27" spans="1:12" ht="16">
      <c r="A27" s="10" t="s">
        <v>3</v>
      </c>
      <c r="B27" s="11" t="s">
        <v>213</v>
      </c>
      <c r="C27" s="10">
        <v>25.8</v>
      </c>
      <c r="D27" s="10">
        <v>13</v>
      </c>
      <c r="E27" s="10" t="s">
        <v>214</v>
      </c>
      <c r="F27" s="15">
        <v>7400</v>
      </c>
      <c r="G27" s="16">
        <v>0</v>
      </c>
      <c r="H27" s="14">
        <f>IF(A27="G",1,0)*G27</f>
        <v>0</v>
      </c>
      <c r="I27" s="14">
        <f>IF(A27="F",1,0)*G27</f>
        <v>0</v>
      </c>
      <c r="J27" s="17">
        <f>F27/C27</f>
        <v>286.82170542635657</v>
      </c>
      <c r="K27" s="18">
        <f>F27*G27</f>
        <v>0</v>
      </c>
      <c r="L27" s="14">
        <f>G27*C27</f>
        <v>0</v>
      </c>
    </row>
    <row r="28" spans="1:12" ht="16">
      <c r="A28" s="10" t="s">
        <v>3</v>
      </c>
      <c r="B28" s="11" t="s">
        <v>209</v>
      </c>
      <c r="C28" s="10">
        <v>24.8</v>
      </c>
      <c r="D28" s="10">
        <v>15</v>
      </c>
      <c r="E28" s="10" t="s">
        <v>196</v>
      </c>
      <c r="F28" s="15">
        <v>7400</v>
      </c>
      <c r="G28" s="16">
        <v>0</v>
      </c>
      <c r="H28" s="14">
        <f>IF(A28="G",1,0)*G28</f>
        <v>0</v>
      </c>
      <c r="I28" s="14">
        <f>IF(A28="F",1,0)*G28</f>
        <v>0</v>
      </c>
      <c r="J28" s="17">
        <f>F28/C28</f>
        <v>298.38709677419354</v>
      </c>
      <c r="K28" s="18">
        <f>F28*G28</f>
        <v>0</v>
      </c>
      <c r="L28" s="14">
        <f>G28*C28</f>
        <v>0</v>
      </c>
    </row>
    <row r="29" spans="1:12" ht="16">
      <c r="A29" s="10" t="s">
        <v>0</v>
      </c>
      <c r="B29" s="11" t="s">
        <v>207</v>
      </c>
      <c r="C29" s="10">
        <v>24.7</v>
      </c>
      <c r="D29" s="10">
        <v>12</v>
      </c>
      <c r="E29" s="13" t="s">
        <v>393</v>
      </c>
      <c r="F29" s="15">
        <v>7400</v>
      </c>
      <c r="G29" s="16">
        <v>0</v>
      </c>
      <c r="H29" s="14">
        <f>IF(A29="G",1,0)*G29</f>
        <v>0</v>
      </c>
      <c r="I29" s="14">
        <f>IF(A29="F",1,0)*G29</f>
        <v>0</v>
      </c>
      <c r="J29" s="17">
        <f>F29/C29</f>
        <v>299.59514170040489</v>
      </c>
      <c r="K29" s="18">
        <f>F29*G29</f>
        <v>0</v>
      </c>
      <c r="L29" s="14">
        <f>G29*C29</f>
        <v>0</v>
      </c>
    </row>
    <row r="30" spans="1:12" ht="16">
      <c r="A30" s="10" t="s">
        <v>0</v>
      </c>
      <c r="B30" s="11" t="s">
        <v>210</v>
      </c>
      <c r="C30" s="10">
        <v>23.8</v>
      </c>
      <c r="D30" s="10">
        <v>12</v>
      </c>
      <c r="E30" s="13" t="s">
        <v>393</v>
      </c>
      <c r="F30" s="15">
        <v>7400</v>
      </c>
      <c r="G30" s="16">
        <v>0</v>
      </c>
      <c r="H30" s="14">
        <f>IF(A30="G",1,0)*G30</f>
        <v>0</v>
      </c>
      <c r="I30" s="14">
        <f>IF(A30="F",1,0)*G30</f>
        <v>0</v>
      </c>
      <c r="J30" s="17">
        <f>F30/C30</f>
        <v>310.92436974789916</v>
      </c>
      <c r="K30" s="18">
        <f>F30*G30</f>
        <v>0</v>
      </c>
      <c r="L30" s="14">
        <f>G30*C30</f>
        <v>0</v>
      </c>
    </row>
    <row r="31" spans="1:12" ht="16">
      <c r="A31" s="10" t="s">
        <v>3</v>
      </c>
      <c r="B31" s="11" t="s">
        <v>216</v>
      </c>
      <c r="C31" s="10">
        <v>24.9</v>
      </c>
      <c r="D31" s="10">
        <v>15</v>
      </c>
      <c r="E31" s="10" t="s">
        <v>179</v>
      </c>
      <c r="F31" s="15">
        <v>7300</v>
      </c>
      <c r="G31" s="16">
        <v>0</v>
      </c>
      <c r="H31" s="14">
        <f>IF(A31="G",1,0)*G31</f>
        <v>0</v>
      </c>
      <c r="I31" s="14">
        <f>IF(A31="F",1,0)*G31</f>
        <v>0</v>
      </c>
      <c r="J31" s="17">
        <f>F31/C31</f>
        <v>293.17269076305223</v>
      </c>
      <c r="K31" s="18">
        <f>F31*G31</f>
        <v>0</v>
      </c>
      <c r="L31" s="14">
        <f>G31*C31</f>
        <v>0</v>
      </c>
    </row>
    <row r="32" spans="1:12" ht="16">
      <c r="A32" s="10" t="s">
        <v>3</v>
      </c>
      <c r="B32" s="11" t="s">
        <v>215</v>
      </c>
      <c r="C32" s="10">
        <v>24.6</v>
      </c>
      <c r="D32" s="10">
        <v>14</v>
      </c>
      <c r="E32" s="13" t="s">
        <v>394</v>
      </c>
      <c r="F32" s="15">
        <v>7300</v>
      </c>
      <c r="G32" s="16">
        <v>0</v>
      </c>
      <c r="H32" s="14">
        <f>IF(A32="G",1,0)*G32</f>
        <v>0</v>
      </c>
      <c r="I32" s="14">
        <f>IF(A32="F",1,0)*G32</f>
        <v>0</v>
      </c>
      <c r="J32" s="17">
        <f>F32/C32</f>
        <v>296.7479674796748</v>
      </c>
      <c r="K32" s="18">
        <f>F32*G32</f>
        <v>0</v>
      </c>
      <c r="L32" s="14">
        <f>G32*C32</f>
        <v>0</v>
      </c>
    </row>
    <row r="33" spans="1:12" ht="16">
      <c r="A33" s="10" t="s">
        <v>3</v>
      </c>
      <c r="B33" s="11" t="s">
        <v>217</v>
      </c>
      <c r="C33" s="10">
        <v>23.6</v>
      </c>
      <c r="D33" s="10">
        <v>12</v>
      </c>
      <c r="E33" s="13" t="s">
        <v>388</v>
      </c>
      <c r="F33" s="15">
        <v>7300</v>
      </c>
      <c r="G33" s="16">
        <v>0</v>
      </c>
      <c r="H33" s="14">
        <f>IF(A33="G",1,0)*G33</f>
        <v>0</v>
      </c>
      <c r="I33" s="14">
        <f>IF(A33="F",1,0)*G33</f>
        <v>0</v>
      </c>
      <c r="J33" s="17">
        <f>F33/C33</f>
        <v>309.32203389830505</v>
      </c>
      <c r="K33" s="18">
        <f>F33*G33</f>
        <v>0</v>
      </c>
      <c r="L33" s="14">
        <f>G33*C33</f>
        <v>0</v>
      </c>
    </row>
    <row r="34" spans="1:12" ht="16">
      <c r="A34" s="10" t="s">
        <v>0</v>
      </c>
      <c r="B34" s="11" t="s">
        <v>220</v>
      </c>
      <c r="C34" s="10">
        <v>26.5</v>
      </c>
      <c r="D34" s="10">
        <v>15</v>
      </c>
      <c r="E34" s="10" t="s">
        <v>196</v>
      </c>
      <c r="F34" s="15">
        <v>7200</v>
      </c>
      <c r="G34" s="16">
        <v>0</v>
      </c>
      <c r="H34" s="14">
        <f>IF(A34="G",1,0)*G34</f>
        <v>0</v>
      </c>
      <c r="I34" s="14">
        <f>IF(A34="F",1,0)*G34</f>
        <v>0</v>
      </c>
      <c r="J34" s="17">
        <f>F34/C34</f>
        <v>271.69811320754718</v>
      </c>
      <c r="K34" s="18">
        <f>F34*G34</f>
        <v>0</v>
      </c>
      <c r="L34" s="14">
        <f>G34*C34</f>
        <v>0</v>
      </c>
    </row>
    <row r="35" spans="1:12" ht="16">
      <c r="A35" s="10" t="s">
        <v>0</v>
      </c>
      <c r="B35" s="11" t="s">
        <v>219</v>
      </c>
      <c r="C35" s="10">
        <v>25.4</v>
      </c>
      <c r="D35" s="10">
        <v>15</v>
      </c>
      <c r="E35" s="13" t="s">
        <v>386</v>
      </c>
      <c r="F35" s="15">
        <v>7200</v>
      </c>
      <c r="G35" s="16">
        <v>0</v>
      </c>
      <c r="H35" s="14">
        <f>IF(A35="G",1,0)*G35</f>
        <v>0</v>
      </c>
      <c r="I35" s="14">
        <f>IF(A35="F",1,0)*G35</f>
        <v>0</v>
      </c>
      <c r="J35" s="17">
        <f>F35/C35</f>
        <v>283.46456692913387</v>
      </c>
      <c r="K35" s="18">
        <f>F35*G35</f>
        <v>0</v>
      </c>
      <c r="L35" s="14">
        <f>G35*C35</f>
        <v>0</v>
      </c>
    </row>
    <row r="36" spans="1:12" ht="16">
      <c r="A36" s="10" t="s">
        <v>0</v>
      </c>
      <c r="B36" s="11" t="s">
        <v>218</v>
      </c>
      <c r="C36" s="10">
        <v>22.5</v>
      </c>
      <c r="D36" s="10">
        <v>14</v>
      </c>
      <c r="E36" s="13" t="s">
        <v>394</v>
      </c>
      <c r="F36" s="15">
        <v>7200</v>
      </c>
      <c r="G36" s="16">
        <v>0</v>
      </c>
      <c r="H36" s="14">
        <f>IF(A36="G",1,0)*G36</f>
        <v>0</v>
      </c>
      <c r="I36" s="14">
        <f>IF(A36="F",1,0)*G36</f>
        <v>0</v>
      </c>
      <c r="J36" s="17">
        <f>F36/C36</f>
        <v>320</v>
      </c>
      <c r="K36" s="18">
        <f>F36*G36</f>
        <v>0</v>
      </c>
      <c r="L36" s="14">
        <f>G36*C36</f>
        <v>0</v>
      </c>
    </row>
    <row r="37" spans="1:12" ht="16">
      <c r="A37" s="10" t="s">
        <v>0</v>
      </c>
      <c r="B37" s="11" t="s">
        <v>221</v>
      </c>
      <c r="C37" s="10">
        <v>26.1</v>
      </c>
      <c r="D37" s="10">
        <v>12</v>
      </c>
      <c r="E37" s="10" t="s">
        <v>191</v>
      </c>
      <c r="F37" s="15">
        <v>7100</v>
      </c>
      <c r="G37" s="16">
        <v>0</v>
      </c>
      <c r="H37" s="14">
        <f>IF(A37="G",1,0)*G37</f>
        <v>0</v>
      </c>
      <c r="I37" s="14">
        <f>IF(A37="F",1,0)*G37</f>
        <v>0</v>
      </c>
      <c r="J37" s="17">
        <f>F37/C37</f>
        <v>272.03065134099614</v>
      </c>
      <c r="K37" s="18">
        <f>F37*G37</f>
        <v>0</v>
      </c>
      <c r="L37" s="14">
        <f>G37*C37</f>
        <v>0</v>
      </c>
    </row>
    <row r="38" spans="1:12" ht="16">
      <c r="A38" s="10" t="s">
        <v>0</v>
      </c>
      <c r="B38" s="11" t="s">
        <v>223</v>
      </c>
      <c r="C38" s="10">
        <v>22.1</v>
      </c>
      <c r="D38" s="10">
        <v>12</v>
      </c>
      <c r="E38" s="13" t="s">
        <v>395</v>
      </c>
      <c r="F38" s="15">
        <v>7100</v>
      </c>
      <c r="G38" s="16">
        <v>0</v>
      </c>
      <c r="H38" s="14">
        <f>IF(A38="G",1,0)*G38</f>
        <v>0</v>
      </c>
      <c r="I38" s="14">
        <f>IF(A38="F",1,0)*G38</f>
        <v>0</v>
      </c>
      <c r="J38" s="17">
        <f>F38/C38</f>
        <v>321.26696832579182</v>
      </c>
      <c r="K38" s="18">
        <f>F38*G38</f>
        <v>0</v>
      </c>
      <c r="L38" s="14">
        <f>G38*C38</f>
        <v>0</v>
      </c>
    </row>
    <row r="39" spans="1:12" ht="16">
      <c r="A39" s="10" t="s">
        <v>3</v>
      </c>
      <c r="B39" s="11" t="s">
        <v>222</v>
      </c>
      <c r="C39" s="10">
        <v>21.8</v>
      </c>
      <c r="D39" s="10">
        <v>9</v>
      </c>
      <c r="E39" s="13" t="s">
        <v>393</v>
      </c>
      <c r="F39" s="15">
        <v>7100</v>
      </c>
      <c r="G39" s="16">
        <v>0</v>
      </c>
      <c r="H39" s="14">
        <f>IF(A39="G",1,0)*G39</f>
        <v>0</v>
      </c>
      <c r="I39" s="14">
        <f>IF(A39="F",1,0)*G39</f>
        <v>0</v>
      </c>
      <c r="J39" s="17">
        <f>F39/C39</f>
        <v>325.6880733944954</v>
      </c>
      <c r="K39" s="18">
        <f>F39*G39</f>
        <v>0</v>
      </c>
      <c r="L39" s="14">
        <f>G39*C39</f>
        <v>0</v>
      </c>
    </row>
    <row r="40" spans="1:12" ht="16">
      <c r="A40" s="10" t="s">
        <v>0</v>
      </c>
      <c r="B40" s="11" t="s">
        <v>224</v>
      </c>
      <c r="C40" s="10">
        <v>24.2</v>
      </c>
      <c r="D40" s="10">
        <v>13</v>
      </c>
      <c r="E40" s="13" t="s">
        <v>391</v>
      </c>
      <c r="F40" s="15">
        <v>7000</v>
      </c>
      <c r="G40" s="16">
        <v>0</v>
      </c>
      <c r="H40" s="14">
        <f>IF(A40="G",1,0)*G40</f>
        <v>0</v>
      </c>
      <c r="I40" s="14">
        <f>IF(A40="F",1,0)*G40</f>
        <v>0</v>
      </c>
      <c r="J40" s="17">
        <f>F40/C40</f>
        <v>289.25619834710744</v>
      </c>
      <c r="K40" s="18">
        <f>F40*G40</f>
        <v>0</v>
      </c>
      <c r="L40" s="14">
        <f>G40*C40</f>
        <v>0</v>
      </c>
    </row>
    <row r="41" spans="1:12" ht="16">
      <c r="A41" s="10" t="s">
        <v>3</v>
      </c>
      <c r="B41" s="11" t="s">
        <v>226</v>
      </c>
      <c r="C41" s="10">
        <v>24.2</v>
      </c>
      <c r="D41" s="10">
        <v>14</v>
      </c>
      <c r="E41" s="13" t="s">
        <v>396</v>
      </c>
      <c r="F41" s="15">
        <v>7000</v>
      </c>
      <c r="G41" s="16">
        <v>0</v>
      </c>
      <c r="H41" s="14">
        <f>IF(A41="G",1,0)*G41</f>
        <v>0</v>
      </c>
      <c r="I41" s="14">
        <f>IF(A41="F",1,0)*G41</f>
        <v>0</v>
      </c>
      <c r="J41" s="17">
        <f>F41/C41</f>
        <v>289.25619834710744</v>
      </c>
      <c r="K41" s="18">
        <f>F41*G41</f>
        <v>0</v>
      </c>
      <c r="L41" s="14">
        <f>G41*C41</f>
        <v>0</v>
      </c>
    </row>
    <row r="42" spans="1:12" ht="16">
      <c r="A42" s="10" t="s">
        <v>0</v>
      </c>
      <c r="B42" s="11" t="s">
        <v>225</v>
      </c>
      <c r="C42" s="10">
        <v>23.7</v>
      </c>
      <c r="D42" s="10">
        <v>14</v>
      </c>
      <c r="E42" s="13" t="s">
        <v>392</v>
      </c>
      <c r="F42" s="15">
        <v>7000</v>
      </c>
      <c r="G42" s="16">
        <v>0</v>
      </c>
      <c r="H42" s="14">
        <f>IF(A42="G",1,0)*G42</f>
        <v>0</v>
      </c>
      <c r="I42" s="14">
        <f>IF(A42="F",1,0)*G42</f>
        <v>0</v>
      </c>
      <c r="J42" s="17">
        <f>F42/C42</f>
        <v>295.35864978902953</v>
      </c>
      <c r="K42" s="18">
        <f>F42*G42</f>
        <v>0</v>
      </c>
      <c r="L42" s="14">
        <f>G42*C42</f>
        <v>0</v>
      </c>
    </row>
    <row r="43" spans="1:12" ht="16">
      <c r="A43" s="10" t="s">
        <v>0</v>
      </c>
      <c r="B43" s="11" t="s">
        <v>230</v>
      </c>
      <c r="C43" s="10">
        <v>25.5</v>
      </c>
      <c r="D43" s="10">
        <v>13</v>
      </c>
      <c r="E43" s="13" t="s">
        <v>390</v>
      </c>
      <c r="F43" s="15">
        <v>6900</v>
      </c>
      <c r="G43" s="16">
        <v>0</v>
      </c>
      <c r="H43" s="14">
        <f>IF(A43="G",1,0)*G43</f>
        <v>0</v>
      </c>
      <c r="I43" s="14">
        <f>IF(A43="F",1,0)*G43</f>
        <v>0</v>
      </c>
      <c r="J43" s="17">
        <f>F43/C43</f>
        <v>270.58823529411762</v>
      </c>
      <c r="K43" s="18">
        <f>F43*G43</f>
        <v>0</v>
      </c>
      <c r="L43" s="14">
        <f>G43*C43</f>
        <v>0</v>
      </c>
    </row>
    <row r="44" spans="1:12" ht="16">
      <c r="A44" s="10" t="s">
        <v>0</v>
      </c>
      <c r="B44" s="11" t="s">
        <v>227</v>
      </c>
      <c r="C44" s="10">
        <v>23.8</v>
      </c>
      <c r="D44" s="10">
        <v>12</v>
      </c>
      <c r="E44" s="10" t="s">
        <v>199</v>
      </c>
      <c r="F44" s="15">
        <v>6900</v>
      </c>
      <c r="G44" s="16">
        <v>0</v>
      </c>
      <c r="H44" s="14">
        <f>IF(A44="G",1,0)*G44</f>
        <v>0</v>
      </c>
      <c r="I44" s="14">
        <f>IF(A44="F",1,0)*G44</f>
        <v>0</v>
      </c>
      <c r="J44" s="17">
        <f>F44/C44</f>
        <v>289.9159663865546</v>
      </c>
      <c r="K44" s="18">
        <f>F44*G44</f>
        <v>0</v>
      </c>
      <c r="L44" s="14">
        <f>G44*C44</f>
        <v>0</v>
      </c>
    </row>
    <row r="45" spans="1:12" ht="16">
      <c r="A45" s="10" t="s">
        <v>3</v>
      </c>
      <c r="B45" s="11" t="s">
        <v>228</v>
      </c>
      <c r="C45" s="10">
        <v>22.8</v>
      </c>
      <c r="D45" s="10">
        <v>12</v>
      </c>
      <c r="E45" s="13" t="s">
        <v>388</v>
      </c>
      <c r="F45" s="15">
        <v>6900</v>
      </c>
      <c r="G45" s="16">
        <v>0</v>
      </c>
      <c r="H45" s="14">
        <f>IF(A45="G",1,0)*G45</f>
        <v>0</v>
      </c>
      <c r="I45" s="14">
        <f>IF(A45="F",1,0)*G45</f>
        <v>0</v>
      </c>
      <c r="J45" s="17">
        <f>F45/C45</f>
        <v>302.63157894736844</v>
      </c>
      <c r="K45" s="18">
        <f>F45*G45</f>
        <v>0</v>
      </c>
      <c r="L45" s="14">
        <f>G45*C45</f>
        <v>0</v>
      </c>
    </row>
    <row r="46" spans="1:12" ht="16">
      <c r="A46" s="10" t="s">
        <v>0</v>
      </c>
      <c r="B46" s="11" t="s">
        <v>229</v>
      </c>
      <c r="C46" s="10">
        <v>21.2</v>
      </c>
      <c r="D46" s="10">
        <v>13</v>
      </c>
      <c r="E46" s="13" t="s">
        <v>390</v>
      </c>
      <c r="F46" s="15">
        <v>6900</v>
      </c>
      <c r="G46" s="16">
        <v>0</v>
      </c>
      <c r="H46" s="14">
        <f>IF(A46="G",1,0)*G46</f>
        <v>0</v>
      </c>
      <c r="I46" s="14">
        <f>IF(A46="F",1,0)*G46</f>
        <v>0</v>
      </c>
      <c r="J46" s="17">
        <f>F46/C46</f>
        <v>325.47169811320754</v>
      </c>
      <c r="K46" s="18">
        <f>F46*G46</f>
        <v>0</v>
      </c>
      <c r="L46" s="14">
        <f>G46*C46</f>
        <v>0</v>
      </c>
    </row>
    <row r="47" spans="1:12" ht="16">
      <c r="A47" s="10" t="s">
        <v>3</v>
      </c>
      <c r="B47" s="11" t="s">
        <v>231</v>
      </c>
      <c r="C47" s="10">
        <v>24.8</v>
      </c>
      <c r="D47" s="10">
        <v>15</v>
      </c>
      <c r="E47" s="10" t="s">
        <v>182</v>
      </c>
      <c r="F47" s="15">
        <v>6800</v>
      </c>
      <c r="G47" s="16">
        <v>0</v>
      </c>
      <c r="H47" s="14">
        <f>IF(A47="G",1,0)*G47</f>
        <v>0</v>
      </c>
      <c r="I47" s="14">
        <f>IF(A47="F",1,0)*G47</f>
        <v>0</v>
      </c>
      <c r="J47" s="17">
        <f>F47/C47</f>
        <v>274.19354838709677</v>
      </c>
      <c r="K47" s="18">
        <f>F47*G47</f>
        <v>0</v>
      </c>
      <c r="L47" s="14">
        <f>G47*C47</f>
        <v>0</v>
      </c>
    </row>
    <row r="48" spans="1:12" ht="16">
      <c r="A48" s="10" t="s">
        <v>0</v>
      </c>
      <c r="B48" s="11" t="s">
        <v>233</v>
      </c>
      <c r="C48" s="10">
        <v>24.8</v>
      </c>
      <c r="D48" s="10">
        <v>15</v>
      </c>
      <c r="E48" s="10" t="s">
        <v>182</v>
      </c>
      <c r="F48" s="15">
        <v>6700</v>
      </c>
      <c r="G48" s="16">
        <v>0</v>
      </c>
      <c r="H48" s="14">
        <f>IF(A48="G",1,0)*G48</f>
        <v>0</v>
      </c>
      <c r="I48" s="14">
        <f>IF(A48="F",1,0)*G48</f>
        <v>0</v>
      </c>
      <c r="J48" s="17">
        <f>F48/C48</f>
        <v>270.16129032258061</v>
      </c>
      <c r="K48" s="18">
        <f>F48*G48</f>
        <v>0</v>
      </c>
      <c r="L48" s="14">
        <f>G48*C48</f>
        <v>0</v>
      </c>
    </row>
    <row r="49" spans="1:12" ht="16">
      <c r="A49" s="10" t="s">
        <v>3</v>
      </c>
      <c r="B49" s="11" t="s">
        <v>232</v>
      </c>
      <c r="C49" s="10">
        <v>22.6</v>
      </c>
      <c r="D49" s="10">
        <v>14</v>
      </c>
      <c r="E49" s="13" t="s">
        <v>396</v>
      </c>
      <c r="F49" s="15">
        <v>6700</v>
      </c>
      <c r="G49" s="16">
        <v>0</v>
      </c>
      <c r="H49" s="14">
        <f>IF(A49="G",1,0)*G49</f>
        <v>0</v>
      </c>
      <c r="I49" s="14">
        <f>IF(A49="F",1,0)*G49</f>
        <v>0</v>
      </c>
      <c r="J49" s="17">
        <f>F49/C49</f>
        <v>296.46017699115043</v>
      </c>
      <c r="K49" s="18">
        <f>F49*G49</f>
        <v>0</v>
      </c>
      <c r="L49" s="14">
        <f>G49*C49</f>
        <v>0</v>
      </c>
    </row>
    <row r="50" spans="1:12" ht="16">
      <c r="A50" s="10" t="s">
        <v>0</v>
      </c>
      <c r="B50" s="11" t="s">
        <v>234</v>
      </c>
      <c r="C50" s="10">
        <v>24.2</v>
      </c>
      <c r="D50" s="10">
        <v>15</v>
      </c>
      <c r="E50" s="10" t="s">
        <v>182</v>
      </c>
      <c r="F50" s="15">
        <v>6600</v>
      </c>
      <c r="G50" s="16">
        <v>0</v>
      </c>
      <c r="H50" s="14">
        <f>IF(A50="G",1,0)*G50</f>
        <v>0</v>
      </c>
      <c r="I50" s="14">
        <f>IF(A50="F",1,0)*G50</f>
        <v>0</v>
      </c>
      <c r="J50" s="17">
        <f>F50/C50</f>
        <v>272.72727272727275</v>
      </c>
      <c r="K50" s="18">
        <f>F50*G50</f>
        <v>0</v>
      </c>
      <c r="L50" s="14">
        <f>G50*C50</f>
        <v>0</v>
      </c>
    </row>
    <row r="51" spans="1:12" ht="16">
      <c r="A51" s="10" t="s">
        <v>0</v>
      </c>
      <c r="B51" s="11" t="s">
        <v>236</v>
      </c>
      <c r="C51" s="10">
        <v>24.4</v>
      </c>
      <c r="D51" s="10">
        <v>12</v>
      </c>
      <c r="E51" s="10" t="s">
        <v>177</v>
      </c>
      <c r="F51" s="15">
        <v>6500</v>
      </c>
      <c r="G51" s="16">
        <v>0</v>
      </c>
      <c r="H51" s="14">
        <f>IF(A51="G",1,0)*G51</f>
        <v>0</v>
      </c>
      <c r="I51" s="14">
        <f>IF(A51="F",1,0)*G51</f>
        <v>0</v>
      </c>
      <c r="J51" s="17">
        <f>F51/C51</f>
        <v>266.39344262295083</v>
      </c>
      <c r="K51" s="18">
        <f>F51*G51</f>
        <v>0</v>
      </c>
      <c r="L51" s="14">
        <f>G51*C51</f>
        <v>0</v>
      </c>
    </row>
    <row r="52" spans="1:12" ht="16">
      <c r="A52" s="10" t="s">
        <v>3</v>
      </c>
      <c r="B52" s="11" t="s">
        <v>235</v>
      </c>
      <c r="C52" s="10">
        <v>22.6</v>
      </c>
      <c r="D52" s="10">
        <v>13</v>
      </c>
      <c r="E52" s="10" t="s">
        <v>212</v>
      </c>
      <c r="F52" s="15">
        <v>6500</v>
      </c>
      <c r="G52" s="16">
        <v>0</v>
      </c>
      <c r="H52" s="14">
        <f>IF(A52="G",1,0)*G52</f>
        <v>0</v>
      </c>
      <c r="I52" s="14">
        <f>IF(A52="F",1,0)*G52</f>
        <v>0</v>
      </c>
      <c r="J52" s="17">
        <f>F52/C52</f>
        <v>287.61061946902652</v>
      </c>
      <c r="K52" s="18">
        <f>F52*G52</f>
        <v>0</v>
      </c>
      <c r="L52" s="14">
        <f>G52*C52</f>
        <v>0</v>
      </c>
    </row>
    <row r="53" spans="1:12" ht="16">
      <c r="A53" s="10" t="s">
        <v>3</v>
      </c>
      <c r="B53" s="11" t="s">
        <v>237</v>
      </c>
      <c r="C53" s="10">
        <v>22.1</v>
      </c>
      <c r="D53" s="10">
        <v>13</v>
      </c>
      <c r="E53" s="10" t="s">
        <v>204</v>
      </c>
      <c r="F53" s="15">
        <v>6400</v>
      </c>
      <c r="G53" s="16">
        <v>0</v>
      </c>
      <c r="H53" s="14">
        <f>IF(A53="G",1,0)*G53</f>
        <v>0</v>
      </c>
      <c r="I53" s="14">
        <f>IF(A53="F",1,0)*G53</f>
        <v>0</v>
      </c>
      <c r="J53" s="17">
        <f>F53/C53</f>
        <v>289.59276018099547</v>
      </c>
      <c r="K53" s="18">
        <f>F53*G53</f>
        <v>0</v>
      </c>
      <c r="L53" s="14">
        <f>G53*C53</f>
        <v>0</v>
      </c>
    </row>
    <row r="54" spans="1:12" ht="16">
      <c r="A54" s="10" t="s">
        <v>0</v>
      </c>
      <c r="B54" s="11" t="s">
        <v>240</v>
      </c>
      <c r="C54" s="10">
        <v>22.6</v>
      </c>
      <c r="D54" s="10">
        <v>13</v>
      </c>
      <c r="E54" s="13" t="s">
        <v>396</v>
      </c>
      <c r="F54" s="15">
        <v>6300</v>
      </c>
      <c r="G54" s="16">
        <v>0</v>
      </c>
      <c r="H54" s="14">
        <f>IF(A54="G",1,0)*G54</f>
        <v>0</v>
      </c>
      <c r="I54" s="14">
        <f>IF(A54="F",1,0)*G54</f>
        <v>0</v>
      </c>
      <c r="J54" s="17">
        <f>F54/C54</f>
        <v>278.76106194690266</v>
      </c>
      <c r="K54" s="18">
        <f>F54*G54</f>
        <v>0</v>
      </c>
      <c r="L54" s="14">
        <f>G54*C54</f>
        <v>0</v>
      </c>
    </row>
    <row r="55" spans="1:12" ht="16">
      <c r="A55" s="10" t="s">
        <v>0</v>
      </c>
      <c r="B55" s="11" t="s">
        <v>241</v>
      </c>
      <c r="C55" s="10">
        <v>21.8</v>
      </c>
      <c r="D55" s="10">
        <v>14</v>
      </c>
      <c r="E55" s="13" t="s">
        <v>396</v>
      </c>
      <c r="F55" s="15">
        <v>6300</v>
      </c>
      <c r="G55" s="16">
        <v>0</v>
      </c>
      <c r="H55" s="14">
        <f>IF(A55="G",1,0)*G55</f>
        <v>0</v>
      </c>
      <c r="I55" s="14">
        <f>IF(A55="F",1,0)*G55</f>
        <v>0</v>
      </c>
      <c r="J55" s="17">
        <f>F55/C55</f>
        <v>288.99082568807336</v>
      </c>
      <c r="K55" s="18">
        <f>F55*G55</f>
        <v>0</v>
      </c>
      <c r="L55" s="14">
        <f>G55*C55</f>
        <v>0</v>
      </c>
    </row>
    <row r="56" spans="1:12" ht="16">
      <c r="A56" s="10" t="s">
        <v>3</v>
      </c>
      <c r="B56" s="11" t="s">
        <v>243</v>
      </c>
      <c r="C56" s="10">
        <v>22</v>
      </c>
      <c r="D56" s="10">
        <v>13</v>
      </c>
      <c r="E56" s="10" t="s">
        <v>214</v>
      </c>
      <c r="F56" s="15">
        <v>6200</v>
      </c>
      <c r="G56" s="16">
        <v>0</v>
      </c>
      <c r="H56" s="14">
        <f>IF(A56="G",1,0)*G56</f>
        <v>0</v>
      </c>
      <c r="I56" s="14">
        <f>IF(A56="F",1,0)*G56</f>
        <v>0</v>
      </c>
      <c r="J56" s="17">
        <f>F56/C56</f>
        <v>281.81818181818181</v>
      </c>
      <c r="K56" s="18">
        <f>F56*G56</f>
        <v>0</v>
      </c>
      <c r="L56" s="14">
        <f>G56*C56</f>
        <v>0</v>
      </c>
    </row>
    <row r="57" spans="1:12" ht="16">
      <c r="A57" s="10" t="s">
        <v>0</v>
      </c>
      <c r="B57" s="11" t="s">
        <v>242</v>
      </c>
      <c r="C57" s="10">
        <v>21.5</v>
      </c>
      <c r="D57" s="10">
        <v>13</v>
      </c>
      <c r="E57" s="13" t="s">
        <v>387</v>
      </c>
      <c r="F57" s="15">
        <v>6200</v>
      </c>
      <c r="G57" s="16">
        <v>0</v>
      </c>
      <c r="H57" s="14">
        <f>IF(A57="G",1,0)*G57</f>
        <v>0</v>
      </c>
      <c r="I57" s="14">
        <f>IF(A57="F",1,0)*G57</f>
        <v>0</v>
      </c>
      <c r="J57" s="17">
        <f>F57/C57</f>
        <v>288.37209302325579</v>
      </c>
      <c r="K57" s="18">
        <f>F57*G57</f>
        <v>0</v>
      </c>
      <c r="L57" s="14">
        <f>G57*C57</f>
        <v>0</v>
      </c>
    </row>
    <row r="58" spans="1:12" ht="16">
      <c r="A58" s="10" t="s">
        <v>3</v>
      </c>
      <c r="B58" s="11" t="s">
        <v>245</v>
      </c>
      <c r="C58" s="10">
        <v>23.2</v>
      </c>
      <c r="D58" s="10">
        <v>15</v>
      </c>
      <c r="E58" s="10" t="s">
        <v>179</v>
      </c>
      <c r="F58" s="15">
        <v>6100</v>
      </c>
      <c r="G58" s="16">
        <v>0</v>
      </c>
      <c r="H58" s="14">
        <f>IF(A58="G",1,0)*G58</f>
        <v>0</v>
      </c>
      <c r="I58" s="14">
        <f>IF(A58="F",1,0)*G58</f>
        <v>0</v>
      </c>
      <c r="J58" s="17">
        <f>F58/C58</f>
        <v>262.93103448275861</v>
      </c>
      <c r="K58" s="18">
        <f>F58*G58</f>
        <v>0</v>
      </c>
      <c r="L58" s="14">
        <f>G58*C58</f>
        <v>0</v>
      </c>
    </row>
    <row r="59" spans="1:12" ht="16">
      <c r="A59" s="10" t="s">
        <v>3</v>
      </c>
      <c r="B59" s="11" t="s">
        <v>248</v>
      </c>
      <c r="C59" s="10">
        <v>21.3</v>
      </c>
      <c r="D59" s="10">
        <v>12</v>
      </c>
      <c r="E59" s="10" t="s">
        <v>199</v>
      </c>
      <c r="F59" s="15">
        <v>6100</v>
      </c>
      <c r="G59" s="16">
        <v>0</v>
      </c>
      <c r="H59" s="14">
        <f>IF(A59="G",1,0)*G59</f>
        <v>0</v>
      </c>
      <c r="I59" s="14">
        <f>IF(A59="F",1,0)*G59</f>
        <v>0</v>
      </c>
      <c r="J59" s="17">
        <f>F59/C59</f>
        <v>286.38497652582157</v>
      </c>
      <c r="K59" s="18">
        <f>F59*G59</f>
        <v>0</v>
      </c>
      <c r="L59" s="14">
        <f>G59*C59</f>
        <v>0</v>
      </c>
    </row>
    <row r="60" spans="1:12" ht="16">
      <c r="A60" s="10" t="s">
        <v>0</v>
      </c>
      <c r="B60" s="11" t="s">
        <v>246</v>
      </c>
      <c r="C60" s="10">
        <v>21.1</v>
      </c>
      <c r="D60" s="10">
        <v>15</v>
      </c>
      <c r="E60" s="10" t="s">
        <v>179</v>
      </c>
      <c r="F60" s="15">
        <v>6100</v>
      </c>
      <c r="G60" s="16">
        <v>0</v>
      </c>
      <c r="H60" s="14">
        <f>IF(A60="G",1,0)*G60</f>
        <v>0</v>
      </c>
      <c r="I60" s="14">
        <f>IF(A60="F",1,0)*G60</f>
        <v>0</v>
      </c>
      <c r="J60" s="17">
        <f>F60/C60</f>
        <v>289.09952606635068</v>
      </c>
      <c r="K60" s="18">
        <f>F60*G60</f>
        <v>0</v>
      </c>
      <c r="L60" s="14">
        <f>G60*C60</f>
        <v>0</v>
      </c>
    </row>
    <row r="61" spans="1:12" ht="16">
      <c r="A61" s="10" t="s">
        <v>0</v>
      </c>
      <c r="B61" s="11" t="s">
        <v>247</v>
      </c>
      <c r="C61" s="10">
        <v>20.9</v>
      </c>
      <c r="D61" s="10">
        <v>15</v>
      </c>
      <c r="E61" s="13" t="s">
        <v>397</v>
      </c>
      <c r="F61" s="15">
        <v>6100</v>
      </c>
      <c r="G61" s="16">
        <v>0</v>
      </c>
      <c r="H61" s="14">
        <f>IF(A61="G",1,0)*G61</f>
        <v>0</v>
      </c>
      <c r="I61" s="14">
        <f>IF(A61="F",1,0)*G61</f>
        <v>0</v>
      </c>
      <c r="J61" s="17">
        <f>F61/C61</f>
        <v>291.86602870813397</v>
      </c>
      <c r="K61" s="18">
        <f>F61*G61</f>
        <v>0</v>
      </c>
      <c r="L61" s="14">
        <f>G61*C61</f>
        <v>0</v>
      </c>
    </row>
    <row r="62" spans="1:12" ht="16">
      <c r="A62" s="10" t="s">
        <v>0</v>
      </c>
      <c r="B62" s="11" t="s">
        <v>244</v>
      </c>
      <c r="C62" s="10">
        <v>20.5</v>
      </c>
      <c r="D62" s="10">
        <v>13</v>
      </c>
      <c r="E62" s="10" t="s">
        <v>239</v>
      </c>
      <c r="F62" s="15">
        <v>6100</v>
      </c>
      <c r="G62" s="16">
        <v>0</v>
      </c>
      <c r="H62" s="14">
        <f>IF(A62="G",1,0)*G62</f>
        <v>0</v>
      </c>
      <c r="I62" s="14">
        <f>IF(A62="F",1,0)*G62</f>
        <v>0</v>
      </c>
      <c r="J62" s="17">
        <f>F62/C62</f>
        <v>297.5609756097561</v>
      </c>
      <c r="K62" s="18">
        <f>F62*G62</f>
        <v>0</v>
      </c>
      <c r="L62" s="14">
        <f>G62*C62</f>
        <v>0</v>
      </c>
    </row>
    <row r="63" spans="1:12" ht="16">
      <c r="A63" s="10" t="s">
        <v>0</v>
      </c>
      <c r="B63" s="11" t="s">
        <v>249</v>
      </c>
      <c r="C63" s="10">
        <v>20.2</v>
      </c>
      <c r="D63" s="10">
        <v>12</v>
      </c>
      <c r="E63" s="10" t="s">
        <v>194</v>
      </c>
      <c r="F63" s="15">
        <v>6100</v>
      </c>
      <c r="G63" s="16">
        <v>0</v>
      </c>
      <c r="H63" s="14">
        <f>IF(A63="G",1,0)*G63</f>
        <v>0</v>
      </c>
      <c r="I63" s="14">
        <f>IF(A63="F",1,0)*G63</f>
        <v>0</v>
      </c>
      <c r="J63" s="17">
        <f>F63/C63</f>
        <v>301.980198019802</v>
      </c>
      <c r="K63" s="18">
        <f>F63*G63</f>
        <v>0</v>
      </c>
      <c r="L63" s="14">
        <f>G63*C63</f>
        <v>0</v>
      </c>
    </row>
    <row r="64" spans="1:12" ht="16">
      <c r="A64" s="10" t="s">
        <v>0</v>
      </c>
      <c r="B64" s="11" t="s">
        <v>250</v>
      </c>
      <c r="C64" s="10">
        <v>21.2</v>
      </c>
      <c r="D64" s="10">
        <v>14</v>
      </c>
      <c r="E64" s="13" t="s">
        <v>387</v>
      </c>
      <c r="F64" s="15">
        <v>6000</v>
      </c>
      <c r="G64" s="16">
        <v>0</v>
      </c>
      <c r="H64" s="14">
        <f>IF(A64="G",1,0)*G64</f>
        <v>0</v>
      </c>
      <c r="I64" s="14">
        <f>IF(A64="F",1,0)*G64</f>
        <v>0</v>
      </c>
      <c r="J64" s="17">
        <f>F64/C64</f>
        <v>283.01886792452831</v>
      </c>
      <c r="K64" s="18">
        <f>F64*G64</f>
        <v>0</v>
      </c>
      <c r="L64" s="14">
        <f>G64*C64</f>
        <v>0</v>
      </c>
    </row>
    <row r="65" spans="1:12" ht="16">
      <c r="A65" s="10" t="s">
        <v>3</v>
      </c>
      <c r="B65" s="11" t="s">
        <v>252</v>
      </c>
      <c r="C65" s="10">
        <v>20.9</v>
      </c>
      <c r="D65" s="10">
        <v>15</v>
      </c>
      <c r="E65" s="13" t="s">
        <v>385</v>
      </c>
      <c r="F65" s="15">
        <v>6000</v>
      </c>
      <c r="G65" s="16">
        <v>0</v>
      </c>
      <c r="H65" s="14">
        <f>IF(A65="G",1,0)*G65</f>
        <v>0</v>
      </c>
      <c r="I65" s="14">
        <f>IF(A65="F",1,0)*G65</f>
        <v>0</v>
      </c>
      <c r="J65" s="17">
        <f>F65/C65</f>
        <v>287.08133971291869</v>
      </c>
      <c r="K65" s="18">
        <f>F65*G65</f>
        <v>0</v>
      </c>
      <c r="L65" s="14">
        <f>G65*C65</f>
        <v>0</v>
      </c>
    </row>
    <row r="66" spans="1:12" ht="16">
      <c r="A66" s="10" t="s">
        <v>3</v>
      </c>
      <c r="B66" s="11" t="s">
        <v>251</v>
      </c>
      <c r="C66" s="10">
        <v>20.100000000000001</v>
      </c>
      <c r="D66" s="10">
        <v>13</v>
      </c>
      <c r="E66" s="10" t="s">
        <v>214</v>
      </c>
      <c r="F66" s="15">
        <v>6000</v>
      </c>
      <c r="G66" s="16">
        <v>0</v>
      </c>
      <c r="H66" s="14">
        <f>IF(A66="G",1,0)*G66</f>
        <v>0</v>
      </c>
      <c r="I66" s="14">
        <f>IF(A66="F",1,0)*G66</f>
        <v>0</v>
      </c>
      <c r="J66" s="17">
        <f>F66/C66</f>
        <v>298.50746268656712</v>
      </c>
      <c r="K66" s="18">
        <f>F66*G66</f>
        <v>0</v>
      </c>
      <c r="L66" s="14">
        <f>G66*C66</f>
        <v>0</v>
      </c>
    </row>
    <row r="67" spans="1:12" ht="16">
      <c r="A67" s="10" t="s">
        <v>3</v>
      </c>
      <c r="B67" s="11" t="s">
        <v>257</v>
      </c>
      <c r="C67" s="10">
        <v>20.7</v>
      </c>
      <c r="D67" s="10">
        <v>15</v>
      </c>
      <c r="E67" s="13" t="s">
        <v>386</v>
      </c>
      <c r="F67" s="15">
        <v>5900</v>
      </c>
      <c r="G67" s="16">
        <v>0</v>
      </c>
      <c r="H67" s="14">
        <f>IF(A67="G",1,0)*G67</f>
        <v>0</v>
      </c>
      <c r="I67" s="14">
        <f>IF(A67="F",1,0)*G67</f>
        <v>0</v>
      </c>
      <c r="J67" s="17">
        <f>F67/C67</f>
        <v>285.02415458937202</v>
      </c>
      <c r="K67" s="18">
        <f>F67*G67</f>
        <v>0</v>
      </c>
      <c r="L67" s="14">
        <f>G67*C67</f>
        <v>0</v>
      </c>
    </row>
    <row r="68" spans="1:12" ht="16">
      <c r="A68" s="10" t="s">
        <v>0</v>
      </c>
      <c r="B68" s="11" t="s">
        <v>255</v>
      </c>
      <c r="C68" s="10">
        <v>19.7</v>
      </c>
      <c r="D68" s="10">
        <v>13</v>
      </c>
      <c r="E68" s="10" t="s">
        <v>187</v>
      </c>
      <c r="F68" s="15">
        <v>5900</v>
      </c>
      <c r="G68" s="16">
        <v>0</v>
      </c>
      <c r="H68" s="14">
        <f>IF(A68="G",1,0)*G68</f>
        <v>0</v>
      </c>
      <c r="I68" s="14">
        <f>IF(A68="F",1,0)*G68</f>
        <v>0</v>
      </c>
      <c r="J68" s="17">
        <f>F68/C68</f>
        <v>299.49238578680206</v>
      </c>
      <c r="K68" s="18">
        <f>F68*G68</f>
        <v>0</v>
      </c>
      <c r="L68" s="14">
        <f>G68*C68</f>
        <v>0</v>
      </c>
    </row>
    <row r="69" spans="1:12" ht="16">
      <c r="A69" s="10" t="s">
        <v>0</v>
      </c>
      <c r="B69" s="11" t="s">
        <v>253</v>
      </c>
      <c r="C69" s="10">
        <v>19.3</v>
      </c>
      <c r="D69" s="10">
        <v>13</v>
      </c>
      <c r="E69" s="13" t="s">
        <v>395</v>
      </c>
      <c r="F69" s="15">
        <v>5900</v>
      </c>
      <c r="G69" s="16">
        <v>0</v>
      </c>
      <c r="H69" s="14">
        <f>IF(A69="G",1,0)*G69</f>
        <v>0</v>
      </c>
      <c r="I69" s="14">
        <f>IF(A69="F",1,0)*G69</f>
        <v>0</v>
      </c>
      <c r="J69" s="17">
        <f>F69/C69</f>
        <v>305.69948186528495</v>
      </c>
      <c r="K69" s="18">
        <f>F69*G69</f>
        <v>0</v>
      </c>
      <c r="L69" s="14">
        <f>G69*C69</f>
        <v>0</v>
      </c>
    </row>
    <row r="70" spans="1:12" ht="16">
      <c r="A70" s="10" t="s">
        <v>3</v>
      </c>
      <c r="B70" s="11" t="s">
        <v>256</v>
      </c>
      <c r="C70" s="10">
        <v>19.2</v>
      </c>
      <c r="D70" s="10">
        <v>12</v>
      </c>
      <c r="E70" s="10" t="s">
        <v>191</v>
      </c>
      <c r="F70" s="15">
        <v>5900</v>
      </c>
      <c r="G70" s="16">
        <v>0</v>
      </c>
      <c r="H70" s="14">
        <f>IF(A70="G",1,0)*G70</f>
        <v>0</v>
      </c>
      <c r="I70" s="14">
        <f>IF(A70="F",1,0)*G70</f>
        <v>0</v>
      </c>
      <c r="J70" s="17">
        <f>F70/C70</f>
        <v>307.29166666666669</v>
      </c>
      <c r="K70" s="18">
        <f>F70*G70</f>
        <v>0</v>
      </c>
      <c r="L70" s="14">
        <f>G70*C70</f>
        <v>0</v>
      </c>
    </row>
    <row r="71" spans="1:12" ht="16">
      <c r="A71" s="10" t="s">
        <v>3</v>
      </c>
      <c r="B71" s="11" t="s">
        <v>254</v>
      </c>
      <c r="C71" s="10">
        <v>16.8</v>
      </c>
      <c r="D71" s="10">
        <v>12</v>
      </c>
      <c r="E71" s="13" t="s">
        <v>390</v>
      </c>
      <c r="F71" s="15">
        <v>5900</v>
      </c>
      <c r="G71" s="16">
        <v>0</v>
      </c>
      <c r="H71" s="14">
        <f>IF(A71="G",1,0)*G71</f>
        <v>0</v>
      </c>
      <c r="I71" s="14">
        <f>IF(A71="F",1,0)*G71</f>
        <v>0</v>
      </c>
      <c r="J71" s="17">
        <f>F71/C71</f>
        <v>351.1904761904762</v>
      </c>
      <c r="K71" s="18">
        <f>F71*G71</f>
        <v>0</v>
      </c>
      <c r="L71" s="14">
        <f>G71*C71</f>
        <v>0</v>
      </c>
    </row>
    <row r="72" spans="1:12" ht="16">
      <c r="A72" s="10" t="s">
        <v>0</v>
      </c>
      <c r="B72" s="11" t="s">
        <v>261</v>
      </c>
      <c r="C72" s="10">
        <v>22.8</v>
      </c>
      <c r="D72" s="10">
        <v>13</v>
      </c>
      <c r="E72" s="13" t="s">
        <v>389</v>
      </c>
      <c r="F72" s="15">
        <v>5800</v>
      </c>
      <c r="G72" s="16">
        <v>0</v>
      </c>
      <c r="H72" s="14">
        <f>IF(A72="G",1,0)*G72</f>
        <v>0</v>
      </c>
      <c r="I72" s="14">
        <f>IF(A72="F",1,0)*G72</f>
        <v>0</v>
      </c>
      <c r="J72" s="17">
        <f>F72/C72</f>
        <v>254.38596491228068</v>
      </c>
      <c r="K72" s="18">
        <f>F72*G72</f>
        <v>0</v>
      </c>
      <c r="L72" s="14">
        <f>G72*C72</f>
        <v>0</v>
      </c>
    </row>
    <row r="73" spans="1:12" ht="16">
      <c r="A73" s="10" t="s">
        <v>0</v>
      </c>
      <c r="B73" s="11" t="s">
        <v>265</v>
      </c>
      <c r="C73" s="10">
        <v>21.3</v>
      </c>
      <c r="D73" s="10">
        <v>12</v>
      </c>
      <c r="E73" s="10" t="s">
        <v>199</v>
      </c>
      <c r="F73" s="15">
        <v>5800</v>
      </c>
      <c r="G73" s="16">
        <v>0</v>
      </c>
      <c r="H73" s="14">
        <f>IF(A73="G",1,0)*G73</f>
        <v>0</v>
      </c>
      <c r="I73" s="14">
        <f>IF(A73="F",1,0)*G73</f>
        <v>0</v>
      </c>
      <c r="J73" s="17">
        <f>F73/C73</f>
        <v>272.30046948356807</v>
      </c>
      <c r="K73" s="18">
        <f>F73*G73</f>
        <v>0</v>
      </c>
      <c r="L73" s="14">
        <f>G73*C73</f>
        <v>0</v>
      </c>
    </row>
    <row r="74" spans="1:12" ht="16">
      <c r="A74" s="10" t="s">
        <v>3</v>
      </c>
      <c r="B74" s="11" t="s">
        <v>260</v>
      </c>
      <c r="C74" s="10">
        <v>21.2</v>
      </c>
      <c r="D74" s="10">
        <v>10</v>
      </c>
      <c r="E74" s="13" t="s">
        <v>389</v>
      </c>
      <c r="F74" s="15">
        <v>5800</v>
      </c>
      <c r="G74" s="16">
        <v>0</v>
      </c>
      <c r="H74" s="14">
        <f>IF(A74="G",1,0)*G74</f>
        <v>0</v>
      </c>
      <c r="I74" s="14">
        <f>IF(A74="F",1,0)*G74</f>
        <v>0</v>
      </c>
      <c r="J74" s="17">
        <f>F74/C74</f>
        <v>273.58490566037739</v>
      </c>
      <c r="K74" s="18">
        <f>F74*G74</f>
        <v>0</v>
      </c>
      <c r="L74" s="14">
        <f>G74*C74</f>
        <v>0</v>
      </c>
    </row>
    <row r="75" spans="1:12" ht="16">
      <c r="A75" s="10" t="s">
        <v>0</v>
      </c>
      <c r="B75" s="11" t="s">
        <v>264</v>
      </c>
      <c r="C75" s="10">
        <v>21.1</v>
      </c>
      <c r="D75" s="10">
        <v>15</v>
      </c>
      <c r="E75" s="10" t="s">
        <v>182</v>
      </c>
      <c r="F75" s="15">
        <v>5800</v>
      </c>
      <c r="G75" s="16">
        <v>0</v>
      </c>
      <c r="H75" s="14">
        <f>IF(A75="G",1,0)*G75</f>
        <v>0</v>
      </c>
      <c r="I75" s="14">
        <f>IF(A75="F",1,0)*G75</f>
        <v>0</v>
      </c>
      <c r="J75" s="17">
        <f>F75/C75</f>
        <v>274.88151658767771</v>
      </c>
      <c r="K75" s="18">
        <f>F75*G75</f>
        <v>0</v>
      </c>
      <c r="L75" s="14">
        <f>G75*C75</f>
        <v>0</v>
      </c>
    </row>
    <row r="76" spans="1:12" ht="16">
      <c r="A76" s="10" t="s">
        <v>0</v>
      </c>
      <c r="B76" s="11" t="s">
        <v>263</v>
      </c>
      <c r="C76" s="10">
        <v>21</v>
      </c>
      <c r="D76" s="10">
        <v>15</v>
      </c>
      <c r="E76" s="10" t="s">
        <v>196</v>
      </c>
      <c r="F76" s="15">
        <v>5800</v>
      </c>
      <c r="G76" s="16">
        <v>0</v>
      </c>
      <c r="H76" s="14">
        <f>IF(A76="G",1,0)*G76</f>
        <v>0</v>
      </c>
      <c r="I76" s="14">
        <f>IF(A76="F",1,0)*G76</f>
        <v>0</v>
      </c>
      <c r="J76" s="17">
        <f>F76/C76</f>
        <v>276.1904761904762</v>
      </c>
      <c r="K76" s="18">
        <f>F76*G76</f>
        <v>0</v>
      </c>
      <c r="L76" s="14">
        <f>G76*C76</f>
        <v>0</v>
      </c>
    </row>
    <row r="77" spans="1:12" ht="16">
      <c r="A77" s="10" t="s">
        <v>3</v>
      </c>
      <c r="B77" s="11" t="s">
        <v>258</v>
      </c>
      <c r="C77" s="10">
        <v>20.9</v>
      </c>
      <c r="D77" s="10">
        <v>15</v>
      </c>
      <c r="E77" s="13" t="s">
        <v>385</v>
      </c>
      <c r="F77" s="15">
        <v>5800</v>
      </c>
      <c r="G77" s="16">
        <v>0</v>
      </c>
      <c r="H77" s="14">
        <f>IF(A77="G",1,0)*G77</f>
        <v>0</v>
      </c>
      <c r="I77" s="14">
        <f>IF(A77="F",1,0)*G77</f>
        <v>0</v>
      </c>
      <c r="J77" s="17">
        <f>F77/C77</f>
        <v>277.51196172248808</v>
      </c>
      <c r="K77" s="18">
        <f>F77*G77</f>
        <v>0</v>
      </c>
      <c r="L77" s="14">
        <f>G77*C77</f>
        <v>0</v>
      </c>
    </row>
    <row r="78" spans="1:12" ht="16">
      <c r="A78" s="10" t="s">
        <v>0</v>
      </c>
      <c r="B78" s="11" t="s">
        <v>259</v>
      </c>
      <c r="C78" s="10">
        <v>17.8</v>
      </c>
      <c r="D78" s="10">
        <v>15</v>
      </c>
      <c r="E78" s="10" t="s">
        <v>179</v>
      </c>
      <c r="F78" s="15">
        <v>5800</v>
      </c>
      <c r="G78" s="16">
        <v>0</v>
      </c>
      <c r="H78" s="14">
        <f>IF(A78="G",1,0)*G78</f>
        <v>0</v>
      </c>
      <c r="I78" s="14">
        <f>IF(A78="F",1,0)*G78</f>
        <v>0</v>
      </c>
      <c r="J78" s="17">
        <f>F78/C78</f>
        <v>325.84269662921349</v>
      </c>
      <c r="K78" s="18">
        <f>F78*G78</f>
        <v>0</v>
      </c>
      <c r="L78" s="14">
        <f>G78*C78</f>
        <v>0</v>
      </c>
    </row>
    <row r="79" spans="1:12" ht="16">
      <c r="A79" s="10" t="s">
        <v>3</v>
      </c>
      <c r="B79" s="11" t="s">
        <v>262</v>
      </c>
      <c r="C79" s="10">
        <v>17.7</v>
      </c>
      <c r="D79" s="10">
        <v>13</v>
      </c>
      <c r="E79" s="10" t="s">
        <v>214</v>
      </c>
      <c r="F79" s="15">
        <v>5800</v>
      </c>
      <c r="G79" s="16">
        <v>0</v>
      </c>
      <c r="H79" s="14">
        <f>IF(A79="G",1,0)*G79</f>
        <v>0</v>
      </c>
      <c r="I79" s="14">
        <f>IF(A79="F",1,0)*G79</f>
        <v>0</v>
      </c>
      <c r="J79" s="17">
        <f>F79/C79</f>
        <v>327.68361581920908</v>
      </c>
      <c r="K79" s="18">
        <f>F79*G79</f>
        <v>0</v>
      </c>
      <c r="L79" s="14">
        <f>G79*C79</f>
        <v>0</v>
      </c>
    </row>
    <row r="80" spans="1:12" ht="16">
      <c r="A80" s="10" t="s">
        <v>3</v>
      </c>
      <c r="B80" s="11" t="s">
        <v>266</v>
      </c>
      <c r="C80" s="10">
        <v>15.8</v>
      </c>
      <c r="D80" s="10">
        <v>12</v>
      </c>
      <c r="E80" s="13" t="s">
        <v>388</v>
      </c>
      <c r="F80" s="15">
        <v>5800</v>
      </c>
      <c r="G80" s="16">
        <v>0</v>
      </c>
      <c r="H80" s="14">
        <f>IF(A80="G",1,0)*G80</f>
        <v>0</v>
      </c>
      <c r="I80" s="14">
        <f>IF(A80="F",1,0)*G80</f>
        <v>0</v>
      </c>
      <c r="J80" s="17">
        <f>F80/C80</f>
        <v>367.08860759493672</v>
      </c>
      <c r="K80" s="18">
        <f>F80*G80</f>
        <v>0</v>
      </c>
      <c r="L80" s="14">
        <f>G80*C80</f>
        <v>0</v>
      </c>
    </row>
    <row r="81" spans="1:12" ht="16">
      <c r="A81" s="10" t="s">
        <v>0</v>
      </c>
      <c r="B81" s="11" t="s">
        <v>269</v>
      </c>
      <c r="C81" s="10">
        <v>20.6</v>
      </c>
      <c r="D81" s="10">
        <v>7</v>
      </c>
      <c r="E81" s="13" t="s">
        <v>391</v>
      </c>
      <c r="F81" s="15">
        <v>5700</v>
      </c>
      <c r="G81" s="16">
        <v>0</v>
      </c>
      <c r="H81" s="14">
        <f>IF(A81="G",1,0)*G81</f>
        <v>0</v>
      </c>
      <c r="I81" s="14">
        <f>IF(A81="F",1,0)*G81</f>
        <v>0</v>
      </c>
      <c r="J81" s="17">
        <f>F81/C81</f>
        <v>276.69902912621359</v>
      </c>
      <c r="K81" s="18">
        <f>F81*G81</f>
        <v>0</v>
      </c>
      <c r="L81" s="14">
        <f>G81*C81</f>
        <v>0</v>
      </c>
    </row>
    <row r="82" spans="1:12" ht="16">
      <c r="A82" s="10" t="s">
        <v>0</v>
      </c>
      <c r="B82" s="11" t="s">
        <v>275</v>
      </c>
      <c r="C82" s="10">
        <v>20.5</v>
      </c>
      <c r="D82" s="10">
        <v>12</v>
      </c>
      <c r="E82" s="10" t="s">
        <v>189</v>
      </c>
      <c r="F82" s="15">
        <v>5700</v>
      </c>
      <c r="G82" s="16">
        <v>0</v>
      </c>
      <c r="H82" s="14">
        <f>IF(A82="G",1,0)*G82</f>
        <v>0</v>
      </c>
      <c r="I82" s="14">
        <f>IF(A82="F",1,0)*G82</f>
        <v>0</v>
      </c>
      <c r="J82" s="17">
        <f>F82/C82</f>
        <v>278.04878048780489</v>
      </c>
      <c r="K82" s="18">
        <f>F82*G82</f>
        <v>0</v>
      </c>
      <c r="L82" s="14">
        <f>G82*C82</f>
        <v>0</v>
      </c>
    </row>
    <row r="83" spans="1:12" ht="16">
      <c r="A83" s="10" t="s">
        <v>0</v>
      </c>
      <c r="B83" s="11" t="s">
        <v>268</v>
      </c>
      <c r="C83" s="10">
        <v>20.2</v>
      </c>
      <c r="D83" s="10">
        <v>14</v>
      </c>
      <c r="E83" s="13" t="s">
        <v>396</v>
      </c>
      <c r="F83" s="15">
        <v>5700</v>
      </c>
      <c r="G83" s="16">
        <v>0</v>
      </c>
      <c r="H83" s="14">
        <f>IF(A83="G",1,0)*G83</f>
        <v>0</v>
      </c>
      <c r="I83" s="14">
        <f>IF(A83="F",1,0)*G83</f>
        <v>0</v>
      </c>
      <c r="J83" s="17">
        <f>F83/C83</f>
        <v>282.1782178217822</v>
      </c>
      <c r="K83" s="18">
        <f>F83*G83</f>
        <v>0</v>
      </c>
      <c r="L83" s="14">
        <f>G83*C83</f>
        <v>0</v>
      </c>
    </row>
    <row r="84" spans="1:12" ht="16">
      <c r="A84" s="10" t="s">
        <v>0</v>
      </c>
      <c r="B84" s="11" t="s">
        <v>270</v>
      </c>
      <c r="C84" s="10">
        <v>19.600000000000001</v>
      </c>
      <c r="D84" s="10">
        <v>14</v>
      </c>
      <c r="E84" s="13" t="s">
        <v>394</v>
      </c>
      <c r="F84" s="15">
        <v>5700</v>
      </c>
      <c r="G84" s="16">
        <v>0</v>
      </c>
      <c r="H84" s="14">
        <f>IF(A84="G",1,0)*G84</f>
        <v>0</v>
      </c>
      <c r="I84" s="14">
        <f>IF(A84="F",1,0)*G84</f>
        <v>0</v>
      </c>
      <c r="J84" s="17">
        <f>F84/C84</f>
        <v>290.81632653061223</v>
      </c>
      <c r="K84" s="18">
        <f>F84*G84</f>
        <v>0</v>
      </c>
      <c r="L84" s="14">
        <f>G84*C84</f>
        <v>0</v>
      </c>
    </row>
    <row r="85" spans="1:12" ht="16">
      <c r="A85" s="10" t="s">
        <v>3</v>
      </c>
      <c r="B85" s="11" t="s">
        <v>272</v>
      </c>
      <c r="C85" s="10">
        <v>19.100000000000001</v>
      </c>
      <c r="D85" s="10">
        <v>15</v>
      </c>
      <c r="E85" s="13" t="s">
        <v>386</v>
      </c>
      <c r="F85" s="15">
        <v>5700</v>
      </c>
      <c r="G85" s="16">
        <v>0</v>
      </c>
      <c r="H85" s="14">
        <f>IF(A85="G",1,0)*G85</f>
        <v>0</v>
      </c>
      <c r="I85" s="14">
        <f>IF(A85="F",1,0)*G85</f>
        <v>0</v>
      </c>
      <c r="J85" s="17">
        <f>F85/C85</f>
        <v>298.42931937172773</v>
      </c>
      <c r="K85" s="18">
        <f>F85*G85</f>
        <v>0</v>
      </c>
      <c r="L85" s="14">
        <f>G85*C85</f>
        <v>0</v>
      </c>
    </row>
    <row r="86" spans="1:12" ht="16">
      <c r="A86" s="10" t="s">
        <v>0</v>
      </c>
      <c r="B86" s="11" t="s">
        <v>271</v>
      </c>
      <c r="C86" s="10">
        <v>18.8</v>
      </c>
      <c r="D86" s="10">
        <v>13</v>
      </c>
      <c r="E86" s="10" t="s">
        <v>204</v>
      </c>
      <c r="F86" s="15">
        <v>5700</v>
      </c>
      <c r="G86" s="16">
        <v>0</v>
      </c>
      <c r="H86" s="14">
        <f>IF(A86="G",1,0)*G86</f>
        <v>0</v>
      </c>
      <c r="I86" s="14">
        <f>IF(A86="F",1,0)*G86</f>
        <v>0</v>
      </c>
      <c r="J86" s="17">
        <f>F86/C86</f>
        <v>303.19148936170211</v>
      </c>
      <c r="K86" s="18">
        <f>F86*G86</f>
        <v>0</v>
      </c>
      <c r="L86" s="14">
        <f>G86*C86</f>
        <v>0</v>
      </c>
    </row>
    <row r="87" spans="1:12" ht="16">
      <c r="A87" s="10" t="s">
        <v>3</v>
      </c>
      <c r="B87" s="11" t="s">
        <v>274</v>
      </c>
      <c r="C87" s="10">
        <v>16.399999999999999</v>
      </c>
      <c r="D87" s="10">
        <v>13</v>
      </c>
      <c r="E87" s="10" t="s">
        <v>212</v>
      </c>
      <c r="F87" s="15">
        <v>5700</v>
      </c>
      <c r="G87" s="16">
        <v>0</v>
      </c>
      <c r="H87" s="14">
        <f>IF(A87="G",1,0)*G87</f>
        <v>0</v>
      </c>
      <c r="I87" s="14">
        <f>IF(A87="F",1,0)*G87</f>
        <v>0</v>
      </c>
      <c r="J87" s="17">
        <f>F87/C87</f>
        <v>347.56097560975616</v>
      </c>
      <c r="K87" s="18">
        <f>F87*G87</f>
        <v>0</v>
      </c>
      <c r="L87" s="14">
        <f>G87*C87</f>
        <v>0</v>
      </c>
    </row>
    <row r="88" spans="1:12" ht="16">
      <c r="A88" s="10" t="s">
        <v>0</v>
      </c>
      <c r="B88" s="11" t="s">
        <v>273</v>
      </c>
      <c r="C88" s="10">
        <v>14.9</v>
      </c>
      <c r="D88" s="10">
        <v>14</v>
      </c>
      <c r="E88" s="13" t="s">
        <v>392</v>
      </c>
      <c r="F88" s="15">
        <v>5700</v>
      </c>
      <c r="G88" s="16">
        <v>0</v>
      </c>
      <c r="H88" s="14">
        <f>IF(A88="G",1,0)*G88</f>
        <v>0</v>
      </c>
      <c r="I88" s="14">
        <f>IF(A88="F",1,0)*G88</f>
        <v>0</v>
      </c>
      <c r="J88" s="17">
        <f>F88/C88</f>
        <v>382.55033557046977</v>
      </c>
      <c r="K88" s="18">
        <f>F88*G88</f>
        <v>0</v>
      </c>
      <c r="L88" s="14">
        <f>G88*C88</f>
        <v>0</v>
      </c>
    </row>
    <row r="89" spans="1:12" ht="16">
      <c r="A89" s="10" t="s">
        <v>0</v>
      </c>
      <c r="B89" s="11" t="s">
        <v>278</v>
      </c>
      <c r="C89" s="10">
        <v>22.4</v>
      </c>
      <c r="D89" s="10">
        <v>15</v>
      </c>
      <c r="E89" s="10" t="s">
        <v>182</v>
      </c>
      <c r="F89" s="15">
        <v>5600</v>
      </c>
      <c r="G89" s="16">
        <v>0</v>
      </c>
      <c r="H89" s="14">
        <f>IF(A89="G",1,0)*G89</f>
        <v>0</v>
      </c>
      <c r="I89" s="14">
        <f>IF(A89="F",1,0)*G89</f>
        <v>0</v>
      </c>
      <c r="J89" s="17">
        <f>F89/C89</f>
        <v>250.00000000000003</v>
      </c>
      <c r="K89" s="18">
        <f>F89*G89</f>
        <v>0</v>
      </c>
      <c r="L89" s="14">
        <f>G89*C89</f>
        <v>0</v>
      </c>
    </row>
    <row r="90" spans="1:12" ht="16">
      <c r="A90" s="10" t="s">
        <v>3</v>
      </c>
      <c r="B90" s="11" t="s">
        <v>284</v>
      </c>
      <c r="C90" s="10">
        <v>20.100000000000001</v>
      </c>
      <c r="D90" s="10">
        <v>15</v>
      </c>
      <c r="E90" s="10" t="s">
        <v>184</v>
      </c>
      <c r="F90" s="15">
        <v>5600</v>
      </c>
      <c r="G90" s="16">
        <v>0</v>
      </c>
      <c r="H90" s="14">
        <f>IF(A90="G",1,0)*G90</f>
        <v>0</v>
      </c>
      <c r="I90" s="14">
        <f>IF(A90="F",1,0)*G90</f>
        <v>0</v>
      </c>
      <c r="J90" s="17">
        <f>F90/C90</f>
        <v>278.60696517412936</v>
      </c>
      <c r="K90" s="18">
        <f>F90*G90</f>
        <v>0</v>
      </c>
      <c r="L90" s="14">
        <f>G90*C90</f>
        <v>0</v>
      </c>
    </row>
    <row r="91" spans="1:12" ht="16">
      <c r="A91" s="10" t="s">
        <v>3</v>
      </c>
      <c r="B91" s="11" t="s">
        <v>280</v>
      </c>
      <c r="C91" s="10">
        <v>19.5</v>
      </c>
      <c r="D91" s="10">
        <v>12</v>
      </c>
      <c r="E91" s="10" t="s">
        <v>187</v>
      </c>
      <c r="F91" s="15">
        <v>5600</v>
      </c>
      <c r="G91" s="16">
        <v>0</v>
      </c>
      <c r="H91" s="14">
        <f>IF(A91="G",1,0)*G91</f>
        <v>0</v>
      </c>
      <c r="I91" s="14">
        <f>IF(A91="F",1,0)*G91</f>
        <v>0</v>
      </c>
      <c r="J91" s="17">
        <f>F91/C91</f>
        <v>287.17948717948718</v>
      </c>
      <c r="K91" s="18">
        <f>F91*G91</f>
        <v>0</v>
      </c>
      <c r="L91" s="14">
        <f>G91*C91</f>
        <v>0</v>
      </c>
    </row>
    <row r="92" spans="1:12" ht="16">
      <c r="A92" s="10" t="s">
        <v>0</v>
      </c>
      <c r="B92" s="11" t="s">
        <v>277</v>
      </c>
      <c r="C92" s="10">
        <v>18.7</v>
      </c>
      <c r="D92" s="10">
        <v>12</v>
      </c>
      <c r="E92" s="10" t="s">
        <v>189</v>
      </c>
      <c r="F92" s="15">
        <v>5600</v>
      </c>
      <c r="G92" s="16">
        <v>0</v>
      </c>
      <c r="H92" s="14">
        <f>IF(A92="G",1,0)*G92</f>
        <v>0</v>
      </c>
      <c r="I92" s="14">
        <f>IF(A92="F",1,0)*G92</f>
        <v>0</v>
      </c>
      <c r="J92" s="17">
        <f>F92/C92</f>
        <v>299.46524064171126</v>
      </c>
      <c r="K92" s="18">
        <f>F92*G92</f>
        <v>0</v>
      </c>
      <c r="L92" s="14">
        <f>G92*C92</f>
        <v>0</v>
      </c>
    </row>
    <row r="93" spans="1:12" ht="16">
      <c r="A93" s="10" t="s">
        <v>0</v>
      </c>
      <c r="B93" s="11" t="s">
        <v>279</v>
      </c>
      <c r="C93" s="10">
        <v>18.3</v>
      </c>
      <c r="D93" s="10">
        <v>15</v>
      </c>
      <c r="E93" s="10" t="s">
        <v>196</v>
      </c>
      <c r="F93" s="15">
        <v>5600</v>
      </c>
      <c r="G93" s="16">
        <v>0</v>
      </c>
      <c r="H93" s="14">
        <f>IF(A93="G",1,0)*G93</f>
        <v>0</v>
      </c>
      <c r="I93" s="14">
        <f>IF(A93="F",1,0)*G93</f>
        <v>0</v>
      </c>
      <c r="J93" s="17">
        <f>F93/C93</f>
        <v>306.01092896174862</v>
      </c>
      <c r="K93" s="18">
        <f>F93*G93</f>
        <v>0</v>
      </c>
      <c r="L93" s="14">
        <f>G93*C93</f>
        <v>0</v>
      </c>
    </row>
    <row r="94" spans="1:12" ht="16">
      <c r="A94" s="10" t="s">
        <v>0</v>
      </c>
      <c r="B94" s="11" t="s">
        <v>283</v>
      </c>
      <c r="C94" s="10">
        <v>17.8</v>
      </c>
      <c r="D94" s="10">
        <v>13</v>
      </c>
      <c r="E94" s="10" t="s">
        <v>214</v>
      </c>
      <c r="F94" s="15">
        <v>5600</v>
      </c>
      <c r="G94" s="16">
        <v>0</v>
      </c>
      <c r="H94" s="14">
        <f>IF(A94="G",1,0)*G94</f>
        <v>0</v>
      </c>
      <c r="I94" s="14">
        <f>IF(A94="F",1,0)*G94</f>
        <v>0</v>
      </c>
      <c r="J94" s="17">
        <f>F94/C94</f>
        <v>314.60674157303367</v>
      </c>
      <c r="K94" s="18">
        <f>F94*G94</f>
        <v>0</v>
      </c>
      <c r="L94" s="14">
        <f>G94*C94</f>
        <v>0</v>
      </c>
    </row>
    <row r="95" spans="1:12" ht="16">
      <c r="A95" s="10" t="s">
        <v>0</v>
      </c>
      <c r="B95" s="11" t="s">
        <v>282</v>
      </c>
      <c r="C95" s="10">
        <v>17.5</v>
      </c>
      <c r="D95" s="10">
        <v>13</v>
      </c>
      <c r="E95" s="10" t="s">
        <v>212</v>
      </c>
      <c r="F95" s="15">
        <v>5600</v>
      </c>
      <c r="G95" s="16">
        <v>0</v>
      </c>
      <c r="H95" s="14">
        <f>IF(A95="G",1,0)*G95</f>
        <v>0</v>
      </c>
      <c r="I95" s="14">
        <f>IF(A95="F",1,0)*G95</f>
        <v>0</v>
      </c>
      <c r="J95" s="17">
        <f>F95/C95</f>
        <v>320</v>
      </c>
      <c r="K95" s="18">
        <f>F95*G95</f>
        <v>0</v>
      </c>
      <c r="L95" s="14">
        <f>G95*C95</f>
        <v>0</v>
      </c>
    </row>
    <row r="96" spans="1:12" ht="16">
      <c r="A96" s="10" t="s">
        <v>0</v>
      </c>
      <c r="B96" s="11" t="s">
        <v>281</v>
      </c>
      <c r="C96" s="10">
        <v>17.399999999999999</v>
      </c>
      <c r="D96" s="10">
        <v>12</v>
      </c>
      <c r="E96" s="10" t="s">
        <v>194</v>
      </c>
      <c r="F96" s="15">
        <v>5600</v>
      </c>
      <c r="G96" s="16">
        <v>0</v>
      </c>
      <c r="H96" s="14">
        <f>IF(A96="G",1,0)*G96</f>
        <v>0</v>
      </c>
      <c r="I96" s="14">
        <f>IF(A96="F",1,0)*G96</f>
        <v>0</v>
      </c>
      <c r="J96" s="17">
        <f>F96/C96</f>
        <v>321.83908045977012</v>
      </c>
      <c r="K96" s="18">
        <f>F96*G96</f>
        <v>0</v>
      </c>
      <c r="L96" s="14">
        <f>G96*C96</f>
        <v>0</v>
      </c>
    </row>
    <row r="97" spans="1:12" ht="16">
      <c r="A97" s="10" t="s">
        <v>0</v>
      </c>
      <c r="B97" s="11" t="s">
        <v>276</v>
      </c>
      <c r="C97" s="10">
        <v>15.8</v>
      </c>
      <c r="D97" s="10">
        <v>14</v>
      </c>
      <c r="E97" s="13" t="s">
        <v>392</v>
      </c>
      <c r="F97" s="15">
        <v>5600</v>
      </c>
      <c r="G97" s="16">
        <v>0</v>
      </c>
      <c r="H97" s="14">
        <f>IF(A97="G",1,0)*G97</f>
        <v>0</v>
      </c>
      <c r="I97" s="14">
        <f>IF(A97="F",1,0)*G97</f>
        <v>0</v>
      </c>
      <c r="J97" s="17">
        <f>F97/C97</f>
        <v>354.4303797468354</v>
      </c>
      <c r="K97" s="18">
        <f>F97*G97</f>
        <v>0</v>
      </c>
      <c r="L97" s="14">
        <f>G97*C97</f>
        <v>0</v>
      </c>
    </row>
    <row r="98" spans="1:12" ht="16">
      <c r="A98" s="10" t="s">
        <v>0</v>
      </c>
      <c r="B98" s="11" t="s">
        <v>285</v>
      </c>
      <c r="C98" s="10">
        <v>20.6</v>
      </c>
      <c r="D98" s="10">
        <v>12</v>
      </c>
      <c r="E98" s="10" t="s">
        <v>191</v>
      </c>
      <c r="F98" s="15">
        <v>5500</v>
      </c>
      <c r="G98" s="16">
        <v>0</v>
      </c>
      <c r="H98" s="14">
        <f>IF(A98="G",1,0)*G98</f>
        <v>0</v>
      </c>
      <c r="I98" s="14">
        <f>IF(A98="F",1,0)*G98</f>
        <v>0</v>
      </c>
      <c r="J98" s="17">
        <f>F98/C98</f>
        <v>266.99029126213588</v>
      </c>
      <c r="K98" s="18">
        <f>F98*G98</f>
        <v>0</v>
      </c>
      <c r="L98" s="14">
        <f>G98*C98</f>
        <v>0</v>
      </c>
    </row>
    <row r="99" spans="1:12" ht="16">
      <c r="A99" s="10" t="s">
        <v>0</v>
      </c>
      <c r="B99" s="11" t="s">
        <v>286</v>
      </c>
      <c r="C99" s="10">
        <v>19.2</v>
      </c>
      <c r="D99" s="10">
        <v>15</v>
      </c>
      <c r="E99" s="13" t="s">
        <v>397</v>
      </c>
      <c r="F99" s="15">
        <v>5500</v>
      </c>
      <c r="G99" s="16">
        <v>0</v>
      </c>
      <c r="H99" s="14">
        <f>IF(A99="G",1,0)*G99</f>
        <v>0</v>
      </c>
      <c r="I99" s="14">
        <f>IF(A99="F",1,0)*G99</f>
        <v>0</v>
      </c>
      <c r="J99" s="17">
        <f>F99/C99</f>
        <v>286.45833333333337</v>
      </c>
      <c r="K99" s="18">
        <f>F99*G99</f>
        <v>0</v>
      </c>
      <c r="L99" s="14">
        <f>G99*C99</f>
        <v>0</v>
      </c>
    </row>
    <row r="100" spans="1:12" ht="16">
      <c r="A100" s="10" t="s">
        <v>0</v>
      </c>
      <c r="B100" s="11" t="s">
        <v>289</v>
      </c>
      <c r="C100" s="10">
        <v>18.600000000000001</v>
      </c>
      <c r="D100" s="10">
        <v>9</v>
      </c>
      <c r="E100" s="10" t="s">
        <v>239</v>
      </c>
      <c r="F100" s="15">
        <v>5500</v>
      </c>
      <c r="G100" s="16">
        <v>0</v>
      </c>
      <c r="H100" s="14">
        <f>IF(A100="G",1,0)*G100</f>
        <v>0</v>
      </c>
      <c r="I100" s="14">
        <f>IF(A100="F",1,0)*G100</f>
        <v>0</v>
      </c>
      <c r="J100" s="17">
        <f>F100/C100</f>
        <v>295.69892473118279</v>
      </c>
      <c r="K100" s="18">
        <f>F100*G100</f>
        <v>0</v>
      </c>
      <c r="L100" s="14">
        <f>G100*C100</f>
        <v>0</v>
      </c>
    </row>
    <row r="101" spans="1:12" ht="16">
      <c r="A101" s="10" t="s">
        <v>0</v>
      </c>
      <c r="B101" s="11" t="s">
        <v>291</v>
      </c>
      <c r="C101" s="10">
        <v>18.5</v>
      </c>
      <c r="D101" s="10">
        <v>14</v>
      </c>
      <c r="E101" s="13" t="s">
        <v>398</v>
      </c>
      <c r="F101" s="15">
        <v>5500</v>
      </c>
      <c r="G101" s="16">
        <v>0</v>
      </c>
      <c r="H101" s="14">
        <f>IF(A101="G",1,0)*G101</f>
        <v>0</v>
      </c>
      <c r="I101" s="14">
        <f>IF(A101="F",1,0)*G101</f>
        <v>0</v>
      </c>
      <c r="J101" s="17">
        <f>F101/C101</f>
        <v>297.29729729729729</v>
      </c>
      <c r="K101" s="18">
        <f>F101*G101</f>
        <v>0</v>
      </c>
      <c r="L101" s="14">
        <f>G101*C101</f>
        <v>0</v>
      </c>
    </row>
    <row r="102" spans="1:12" ht="16">
      <c r="A102" s="10" t="s">
        <v>0</v>
      </c>
      <c r="B102" s="11" t="s">
        <v>292</v>
      </c>
      <c r="C102" s="10">
        <v>18.2</v>
      </c>
      <c r="D102" s="10">
        <v>14</v>
      </c>
      <c r="E102" s="10" t="s">
        <v>177</v>
      </c>
      <c r="F102" s="15">
        <v>5500</v>
      </c>
      <c r="G102" s="16">
        <v>0</v>
      </c>
      <c r="H102" s="14">
        <f>IF(A102="G",1,0)*G102</f>
        <v>0</v>
      </c>
      <c r="I102" s="14">
        <f>IF(A102="F",1,0)*G102</f>
        <v>0</v>
      </c>
      <c r="J102" s="17">
        <f>F102/C102</f>
        <v>302.19780219780222</v>
      </c>
      <c r="K102" s="18">
        <f>F102*G102</f>
        <v>0</v>
      </c>
      <c r="L102" s="14">
        <f>G102*C102</f>
        <v>0</v>
      </c>
    </row>
    <row r="103" spans="1:12" ht="16">
      <c r="A103" s="10" t="s">
        <v>3</v>
      </c>
      <c r="B103" s="11" t="s">
        <v>288</v>
      </c>
      <c r="C103" s="10">
        <v>17.100000000000001</v>
      </c>
      <c r="D103" s="10">
        <v>15</v>
      </c>
      <c r="E103" s="10" t="s">
        <v>179</v>
      </c>
      <c r="F103" s="15">
        <v>5500</v>
      </c>
      <c r="G103" s="16">
        <v>0</v>
      </c>
      <c r="H103" s="14">
        <f>IF(A103="G",1,0)*G103</f>
        <v>0</v>
      </c>
      <c r="I103" s="14">
        <f>IF(A103="F",1,0)*G103</f>
        <v>0</v>
      </c>
      <c r="J103" s="17">
        <f>F103/C103</f>
        <v>321.63742690058479</v>
      </c>
      <c r="K103" s="18">
        <f>F103*G103</f>
        <v>0</v>
      </c>
      <c r="L103" s="14">
        <f>G103*C103</f>
        <v>0</v>
      </c>
    </row>
    <row r="104" spans="1:12" ht="16">
      <c r="A104" s="10" t="s">
        <v>3</v>
      </c>
      <c r="B104" s="11" t="s">
        <v>287</v>
      </c>
      <c r="C104" s="10">
        <v>16.2</v>
      </c>
      <c r="D104" s="10">
        <v>13</v>
      </c>
      <c r="E104" s="10" t="s">
        <v>194</v>
      </c>
      <c r="F104" s="15">
        <v>5500</v>
      </c>
      <c r="G104" s="16">
        <v>0</v>
      </c>
      <c r="H104" s="14">
        <f>IF(A104="G",1,0)*G104</f>
        <v>0</v>
      </c>
      <c r="I104" s="14">
        <f>IF(A104="F",1,0)*G104</f>
        <v>0</v>
      </c>
      <c r="J104" s="17">
        <f>F104/C104</f>
        <v>339.50617283950618</v>
      </c>
      <c r="K104" s="18">
        <f>F104*G104</f>
        <v>0</v>
      </c>
      <c r="L104" s="14">
        <f>G104*C104</f>
        <v>0</v>
      </c>
    </row>
    <row r="105" spans="1:12" ht="16">
      <c r="A105" s="10" t="s">
        <v>3</v>
      </c>
      <c r="B105" s="11" t="s">
        <v>293</v>
      </c>
      <c r="C105" s="10">
        <v>15.4</v>
      </c>
      <c r="D105" s="10">
        <v>12</v>
      </c>
      <c r="E105" s="13" t="s">
        <v>393</v>
      </c>
      <c r="F105" s="15">
        <v>5500</v>
      </c>
      <c r="G105" s="16">
        <v>0</v>
      </c>
      <c r="H105" s="14">
        <f>IF(A105="G",1,0)*G105</f>
        <v>0</v>
      </c>
      <c r="I105" s="14">
        <f>IF(A105="F",1,0)*G105</f>
        <v>0</v>
      </c>
      <c r="J105" s="17">
        <f>F105/C105</f>
        <v>357.14285714285711</v>
      </c>
      <c r="K105" s="18">
        <f>F105*G105</f>
        <v>0</v>
      </c>
      <c r="L105" s="14">
        <f>G105*C105</f>
        <v>0</v>
      </c>
    </row>
    <row r="106" spans="1:12" ht="16">
      <c r="A106" s="10" t="s">
        <v>0</v>
      </c>
      <c r="B106" s="11" t="s">
        <v>290</v>
      </c>
      <c r="C106" s="10">
        <v>14.4</v>
      </c>
      <c r="D106" s="10">
        <v>13</v>
      </c>
      <c r="E106" s="13" t="s">
        <v>390</v>
      </c>
      <c r="F106" s="15">
        <v>5500</v>
      </c>
      <c r="G106" s="16">
        <v>0</v>
      </c>
      <c r="H106" s="14">
        <f>IF(A106="G",1,0)*G106</f>
        <v>0</v>
      </c>
      <c r="I106" s="14">
        <f>IF(A106="F",1,0)*G106</f>
        <v>0</v>
      </c>
      <c r="J106" s="17">
        <f>F106/C106</f>
        <v>381.94444444444446</v>
      </c>
      <c r="K106" s="18">
        <f>F106*G106</f>
        <v>0</v>
      </c>
      <c r="L106" s="14">
        <f>G106*C106</f>
        <v>0</v>
      </c>
    </row>
    <row r="107" spans="1:12" ht="16">
      <c r="A107" s="10" t="s">
        <v>0</v>
      </c>
      <c r="B107" s="11" t="s">
        <v>296</v>
      </c>
      <c r="C107" s="10">
        <v>21.1</v>
      </c>
      <c r="D107" s="10">
        <v>13</v>
      </c>
      <c r="E107" s="10" t="s">
        <v>187</v>
      </c>
      <c r="F107" s="15">
        <v>5400</v>
      </c>
      <c r="G107" s="16">
        <v>0</v>
      </c>
      <c r="H107" s="14">
        <f>IF(A107="G",1,0)*G107</f>
        <v>0</v>
      </c>
      <c r="I107" s="14">
        <f>IF(A107="F",1,0)*G107</f>
        <v>0</v>
      </c>
      <c r="J107" s="17">
        <f>F107/C107</f>
        <v>255.92417061611371</v>
      </c>
      <c r="K107" s="18">
        <f>F107*G107</f>
        <v>0</v>
      </c>
      <c r="L107" s="14">
        <f>G107*C107</f>
        <v>0</v>
      </c>
    </row>
    <row r="108" spans="1:12" ht="16">
      <c r="A108" s="10" t="s">
        <v>3</v>
      </c>
      <c r="B108" s="11" t="s">
        <v>299</v>
      </c>
      <c r="C108" s="10">
        <v>19.100000000000001</v>
      </c>
      <c r="D108" s="10">
        <v>14</v>
      </c>
      <c r="E108" s="13" t="s">
        <v>392</v>
      </c>
      <c r="F108" s="15">
        <v>5400</v>
      </c>
      <c r="G108" s="16">
        <v>0</v>
      </c>
      <c r="H108" s="14">
        <f>IF(A108="G",1,0)*G108</f>
        <v>0</v>
      </c>
      <c r="I108" s="14">
        <f>IF(A108="F",1,0)*G108</f>
        <v>0</v>
      </c>
      <c r="J108" s="17">
        <f>F108/C108</f>
        <v>282.72251308900519</v>
      </c>
      <c r="K108" s="18">
        <f>F108*G108</f>
        <v>0</v>
      </c>
      <c r="L108" s="14">
        <f>G108*C108</f>
        <v>0</v>
      </c>
    </row>
    <row r="109" spans="1:12" ht="16">
      <c r="A109" s="10" t="s">
        <v>0</v>
      </c>
      <c r="B109" s="11" t="s">
        <v>300</v>
      </c>
      <c r="C109" s="10">
        <v>19</v>
      </c>
      <c r="D109" s="10">
        <v>15</v>
      </c>
      <c r="E109" s="13" t="s">
        <v>397</v>
      </c>
      <c r="F109" s="15">
        <v>5400</v>
      </c>
      <c r="G109" s="16">
        <v>0</v>
      </c>
      <c r="H109" s="14">
        <f>IF(A109="G",1,0)*G109</f>
        <v>0</v>
      </c>
      <c r="I109" s="14">
        <f>IF(A109="F",1,0)*G109</f>
        <v>0</v>
      </c>
      <c r="J109" s="17">
        <f>F109/C109</f>
        <v>284.21052631578948</v>
      </c>
      <c r="K109" s="18">
        <f>F109*G109</f>
        <v>0</v>
      </c>
      <c r="L109" s="14">
        <f>G109*C109</f>
        <v>0</v>
      </c>
    </row>
    <row r="110" spans="1:12" ht="16">
      <c r="A110" s="10" t="s">
        <v>3</v>
      </c>
      <c r="B110" s="11" t="s">
        <v>295</v>
      </c>
      <c r="C110" s="10">
        <v>18.899999999999999</v>
      </c>
      <c r="D110" s="10">
        <v>13</v>
      </c>
      <c r="E110" s="13" t="s">
        <v>398</v>
      </c>
      <c r="F110" s="15">
        <v>5400</v>
      </c>
      <c r="G110" s="16">
        <v>0</v>
      </c>
      <c r="H110" s="14">
        <f>IF(A110="G",1,0)*G110</f>
        <v>0</v>
      </c>
      <c r="I110" s="14">
        <f>IF(A110="F",1,0)*G110</f>
        <v>0</v>
      </c>
      <c r="J110" s="17">
        <f>F110/C110</f>
        <v>285.71428571428572</v>
      </c>
      <c r="K110" s="18">
        <f>F110*G110</f>
        <v>0</v>
      </c>
      <c r="L110" s="14">
        <f>G110*C110</f>
        <v>0</v>
      </c>
    </row>
    <row r="111" spans="1:12" ht="16">
      <c r="A111" s="10" t="s">
        <v>0</v>
      </c>
      <c r="B111" s="11" t="s">
        <v>297</v>
      </c>
      <c r="C111" s="10">
        <v>16.5</v>
      </c>
      <c r="D111" s="10">
        <v>13</v>
      </c>
      <c r="E111" s="10" t="s">
        <v>214</v>
      </c>
      <c r="F111" s="15">
        <v>5400</v>
      </c>
      <c r="G111" s="16">
        <v>0</v>
      </c>
      <c r="H111" s="14">
        <f>IF(A111="G",1,0)*G111</f>
        <v>0</v>
      </c>
      <c r="I111" s="14">
        <f>IF(A111="F",1,0)*G111</f>
        <v>0</v>
      </c>
      <c r="J111" s="17">
        <f>F111/C111</f>
        <v>327.27272727272725</v>
      </c>
      <c r="K111" s="18">
        <f>F111*G111</f>
        <v>0</v>
      </c>
      <c r="L111" s="14">
        <f>G111*C111</f>
        <v>0</v>
      </c>
    </row>
    <row r="112" spans="1:12" ht="16">
      <c r="A112" s="10" t="s">
        <v>3</v>
      </c>
      <c r="B112" s="11" t="s">
        <v>298</v>
      </c>
      <c r="C112" s="10">
        <v>16.399999999999999</v>
      </c>
      <c r="D112" s="10">
        <v>13</v>
      </c>
      <c r="E112" s="10" t="s">
        <v>187</v>
      </c>
      <c r="F112" s="15">
        <v>5400</v>
      </c>
      <c r="G112" s="16">
        <v>0</v>
      </c>
      <c r="H112" s="14">
        <f>IF(A112="G",1,0)*G112</f>
        <v>0</v>
      </c>
      <c r="I112" s="14">
        <f>IF(A112="F",1,0)*G112</f>
        <v>0</v>
      </c>
      <c r="J112" s="17">
        <f>F112/C112</f>
        <v>329.26829268292687</v>
      </c>
      <c r="K112" s="18">
        <f>F112*G112</f>
        <v>0</v>
      </c>
      <c r="L112" s="14">
        <f>G112*C112</f>
        <v>0</v>
      </c>
    </row>
    <row r="113" spans="1:12" ht="16">
      <c r="A113" s="10" t="s">
        <v>0</v>
      </c>
      <c r="B113" s="11" t="s">
        <v>294</v>
      </c>
      <c r="C113" s="10">
        <v>13.3</v>
      </c>
      <c r="D113" s="10">
        <v>12</v>
      </c>
      <c r="E113" s="10" t="s">
        <v>189</v>
      </c>
      <c r="F113" s="15">
        <v>5400</v>
      </c>
      <c r="G113" s="16">
        <v>0</v>
      </c>
      <c r="H113" s="14">
        <f>IF(A113="G",1,0)*G113</f>
        <v>0</v>
      </c>
      <c r="I113" s="14">
        <f>IF(A113="F",1,0)*G113</f>
        <v>0</v>
      </c>
      <c r="J113" s="17">
        <f>F113/C113</f>
        <v>406.01503759398491</v>
      </c>
      <c r="K113" s="18">
        <f>F113*G113</f>
        <v>0</v>
      </c>
      <c r="L113" s="14">
        <f>G113*C113</f>
        <v>0</v>
      </c>
    </row>
    <row r="114" spans="1:12" ht="16">
      <c r="A114" s="10" t="s">
        <v>0</v>
      </c>
      <c r="B114" s="11" t="s">
        <v>306</v>
      </c>
      <c r="C114" s="10">
        <v>17.7</v>
      </c>
      <c r="D114" s="10">
        <v>14</v>
      </c>
      <c r="E114" s="13" t="s">
        <v>396</v>
      </c>
      <c r="F114" s="15">
        <v>5300</v>
      </c>
      <c r="G114" s="16">
        <v>0</v>
      </c>
      <c r="H114" s="14">
        <f>IF(A114="G",1,0)*G114</f>
        <v>0</v>
      </c>
      <c r="I114" s="14">
        <f>IF(A114="F",1,0)*G114</f>
        <v>0</v>
      </c>
      <c r="J114" s="17">
        <f>F114/C114</f>
        <v>299.43502824858757</v>
      </c>
      <c r="K114" s="18">
        <f>F114*G114</f>
        <v>0</v>
      </c>
      <c r="L114" s="14">
        <f>G114*C114</f>
        <v>0</v>
      </c>
    </row>
    <row r="115" spans="1:12" ht="16">
      <c r="A115" s="10" t="s">
        <v>3</v>
      </c>
      <c r="B115" s="11" t="s">
        <v>302</v>
      </c>
      <c r="C115" s="10">
        <v>16.600000000000001</v>
      </c>
      <c r="D115" s="10">
        <v>13</v>
      </c>
      <c r="E115" s="10" t="s">
        <v>212</v>
      </c>
      <c r="F115" s="15">
        <v>5300</v>
      </c>
      <c r="G115" s="16">
        <v>0</v>
      </c>
      <c r="H115" s="14">
        <f>IF(A115="G",1,0)*G115</f>
        <v>0</v>
      </c>
      <c r="I115" s="14">
        <f>IF(A115="F",1,0)*G115</f>
        <v>0</v>
      </c>
      <c r="J115" s="17">
        <f>F115/C115</f>
        <v>319.2771084337349</v>
      </c>
      <c r="K115" s="18">
        <f>F115*G115</f>
        <v>0</v>
      </c>
      <c r="L115" s="14">
        <f>G115*C115</f>
        <v>0</v>
      </c>
    </row>
    <row r="116" spans="1:12" ht="16">
      <c r="A116" s="10" t="s">
        <v>3</v>
      </c>
      <c r="B116" s="11" t="s">
        <v>307</v>
      </c>
      <c r="C116" s="10">
        <v>16</v>
      </c>
      <c r="D116" s="10">
        <v>12</v>
      </c>
      <c r="E116" s="10" t="s">
        <v>194</v>
      </c>
      <c r="F116" s="15">
        <v>5300</v>
      </c>
      <c r="G116" s="16">
        <v>0</v>
      </c>
      <c r="H116" s="14">
        <f>IF(A116="G",1,0)*G116</f>
        <v>0</v>
      </c>
      <c r="I116" s="14">
        <f>IF(A116="F",1,0)*G116</f>
        <v>0</v>
      </c>
      <c r="J116" s="17">
        <f>F116/C116</f>
        <v>331.25</v>
      </c>
      <c r="K116" s="18">
        <f>F116*G116</f>
        <v>0</v>
      </c>
      <c r="L116" s="14">
        <f>G116*C116</f>
        <v>0</v>
      </c>
    </row>
    <row r="117" spans="1:12" ht="16">
      <c r="A117" s="10" t="s">
        <v>0</v>
      </c>
      <c r="B117" s="11" t="s">
        <v>308</v>
      </c>
      <c r="C117" s="10">
        <v>15.9</v>
      </c>
      <c r="D117" s="10">
        <v>15</v>
      </c>
      <c r="E117" s="10" t="s">
        <v>184</v>
      </c>
      <c r="F117" s="15">
        <v>5300</v>
      </c>
      <c r="G117" s="16">
        <v>0</v>
      </c>
      <c r="H117" s="14">
        <f>IF(A117="G",1,0)*G117</f>
        <v>0</v>
      </c>
      <c r="I117" s="14">
        <f>IF(A117="F",1,0)*G117</f>
        <v>0</v>
      </c>
      <c r="J117" s="17">
        <f>F117/C117</f>
        <v>333.33333333333331</v>
      </c>
      <c r="K117" s="18">
        <f>F117*G117</f>
        <v>0</v>
      </c>
      <c r="L117" s="14">
        <f>G117*C117</f>
        <v>0</v>
      </c>
    </row>
    <row r="118" spans="1:12" ht="16">
      <c r="A118" s="10" t="s">
        <v>0</v>
      </c>
      <c r="B118" s="11" t="s">
        <v>304</v>
      </c>
      <c r="C118" s="10">
        <v>14.9</v>
      </c>
      <c r="D118" s="10">
        <v>14</v>
      </c>
      <c r="E118" s="13" t="s">
        <v>387</v>
      </c>
      <c r="F118" s="15">
        <v>5300</v>
      </c>
      <c r="G118" s="16">
        <v>0</v>
      </c>
      <c r="H118" s="14">
        <f>IF(A118="G",1,0)*G118</f>
        <v>0</v>
      </c>
      <c r="I118" s="14">
        <f>IF(A118="F",1,0)*G118</f>
        <v>0</v>
      </c>
      <c r="J118" s="17">
        <f>F118/C118</f>
        <v>355.70469798657717</v>
      </c>
      <c r="K118" s="18">
        <f>F118*G118</f>
        <v>0</v>
      </c>
      <c r="L118" s="14">
        <f>G118*C118</f>
        <v>0</v>
      </c>
    </row>
    <row r="119" spans="1:12" ht="16">
      <c r="A119" s="10" t="s">
        <v>0</v>
      </c>
      <c r="B119" s="11" t="s">
        <v>303</v>
      </c>
      <c r="C119" s="10">
        <v>14</v>
      </c>
      <c r="D119" s="10">
        <v>5</v>
      </c>
      <c r="E119" s="13" t="s">
        <v>397</v>
      </c>
      <c r="F119" s="15">
        <v>5300</v>
      </c>
      <c r="G119" s="16">
        <v>0</v>
      </c>
      <c r="H119" s="14">
        <f>IF(A119="G",1,0)*G119</f>
        <v>0</v>
      </c>
      <c r="I119" s="14">
        <f>IF(A119="F",1,0)*G119</f>
        <v>0</v>
      </c>
      <c r="J119" s="17">
        <f>F119/C119</f>
        <v>378.57142857142856</v>
      </c>
      <c r="K119" s="18">
        <f>F119*G119</f>
        <v>0</v>
      </c>
      <c r="L119" s="14">
        <f>G119*C119</f>
        <v>0</v>
      </c>
    </row>
    <row r="120" spans="1:12" ht="16">
      <c r="A120" s="10" t="s">
        <v>3</v>
      </c>
      <c r="B120" s="11" t="s">
        <v>305</v>
      </c>
      <c r="C120" s="10">
        <v>13.9</v>
      </c>
      <c r="D120" s="10">
        <v>13</v>
      </c>
      <c r="E120" s="10" t="s">
        <v>194</v>
      </c>
      <c r="F120" s="15">
        <v>5300</v>
      </c>
      <c r="G120" s="16">
        <v>0</v>
      </c>
      <c r="H120" s="14">
        <f>IF(A120="G",1,0)*G120</f>
        <v>0</v>
      </c>
      <c r="I120" s="14">
        <f>IF(A120="F",1,0)*G120</f>
        <v>0</v>
      </c>
      <c r="J120" s="17">
        <f>F120/C120</f>
        <v>381.29496402877697</v>
      </c>
      <c r="K120" s="18">
        <f>F120*G120</f>
        <v>0</v>
      </c>
      <c r="L120" s="14">
        <f>G120*C120</f>
        <v>0</v>
      </c>
    </row>
    <row r="121" spans="1:12" ht="16">
      <c r="A121" s="10" t="s">
        <v>3</v>
      </c>
      <c r="B121" s="11" t="s">
        <v>301</v>
      </c>
      <c r="C121" s="10">
        <v>12</v>
      </c>
      <c r="D121" s="10">
        <v>14</v>
      </c>
      <c r="E121" s="13" t="s">
        <v>387</v>
      </c>
      <c r="F121" s="15">
        <v>5300</v>
      </c>
      <c r="G121" s="16">
        <v>0</v>
      </c>
      <c r="H121" s="14">
        <f>IF(A121="G",1,0)*G121</f>
        <v>0</v>
      </c>
      <c r="I121" s="14">
        <f>IF(A121="F",1,0)*G121</f>
        <v>0</v>
      </c>
      <c r="J121" s="17">
        <f>F121/C121</f>
        <v>441.66666666666669</v>
      </c>
      <c r="K121" s="18">
        <f>F121*G121</f>
        <v>0</v>
      </c>
      <c r="L121" s="14">
        <f>G121*C121</f>
        <v>0</v>
      </c>
    </row>
    <row r="122" spans="1:12" ht="16">
      <c r="A122" s="10" t="s">
        <v>0</v>
      </c>
      <c r="B122" s="11" t="s">
        <v>314</v>
      </c>
      <c r="C122" s="10">
        <v>18.2</v>
      </c>
      <c r="D122" s="10">
        <v>14</v>
      </c>
      <c r="E122" s="13" t="s">
        <v>398</v>
      </c>
      <c r="F122" s="15">
        <v>5200</v>
      </c>
      <c r="G122" s="16">
        <v>0</v>
      </c>
      <c r="H122" s="14">
        <f>IF(A122="G",1,0)*G122</f>
        <v>0</v>
      </c>
      <c r="I122" s="14">
        <f>IF(A122="F",1,0)*G122</f>
        <v>0</v>
      </c>
      <c r="J122" s="17">
        <f>F122/C122</f>
        <v>285.71428571428572</v>
      </c>
      <c r="K122" s="18">
        <f>F122*G122</f>
        <v>0</v>
      </c>
      <c r="L122" s="14">
        <f>G122*C122</f>
        <v>0</v>
      </c>
    </row>
    <row r="123" spans="1:12" ht="16">
      <c r="A123" s="10" t="s">
        <v>0</v>
      </c>
      <c r="B123" s="11" t="s">
        <v>309</v>
      </c>
      <c r="C123" s="10">
        <v>16.5</v>
      </c>
      <c r="D123" s="10">
        <v>14</v>
      </c>
      <c r="E123" s="13" t="s">
        <v>398</v>
      </c>
      <c r="F123" s="15">
        <v>5200</v>
      </c>
      <c r="G123" s="16">
        <v>0</v>
      </c>
      <c r="H123" s="14">
        <f>IF(A123="G",1,0)*G123</f>
        <v>0</v>
      </c>
      <c r="I123" s="14">
        <f>IF(A123="F",1,0)*G123</f>
        <v>0</v>
      </c>
      <c r="J123" s="17">
        <f>F123/C123</f>
        <v>315.15151515151513</v>
      </c>
      <c r="K123" s="18">
        <f>F123*G123</f>
        <v>0</v>
      </c>
      <c r="L123" s="14">
        <f>G123*C123</f>
        <v>0</v>
      </c>
    </row>
    <row r="124" spans="1:12" ht="16">
      <c r="A124" s="10" t="s">
        <v>0</v>
      </c>
      <c r="B124" s="11" t="s">
        <v>311</v>
      </c>
      <c r="C124" s="10">
        <v>15.4</v>
      </c>
      <c r="D124" s="10">
        <v>11</v>
      </c>
      <c r="E124" s="10" t="s">
        <v>214</v>
      </c>
      <c r="F124" s="15">
        <v>5200</v>
      </c>
      <c r="G124" s="16">
        <v>0</v>
      </c>
      <c r="H124" s="14">
        <f>IF(A124="G",1,0)*G124</f>
        <v>0</v>
      </c>
      <c r="I124" s="14">
        <f>IF(A124="F",1,0)*G124</f>
        <v>0</v>
      </c>
      <c r="J124" s="17">
        <f>F124/C124</f>
        <v>337.66233766233768</v>
      </c>
      <c r="K124" s="18">
        <f>F124*G124</f>
        <v>0</v>
      </c>
      <c r="L124" s="14">
        <f>G124*C124</f>
        <v>0</v>
      </c>
    </row>
    <row r="125" spans="1:12" ht="16">
      <c r="A125" s="10" t="s">
        <v>0</v>
      </c>
      <c r="B125" s="11" t="s">
        <v>312</v>
      </c>
      <c r="C125" s="10">
        <v>15.3</v>
      </c>
      <c r="D125" s="10">
        <v>13</v>
      </c>
      <c r="E125" s="13" t="s">
        <v>395</v>
      </c>
      <c r="F125" s="15">
        <v>5200</v>
      </c>
      <c r="G125" s="16">
        <v>0</v>
      </c>
      <c r="H125" s="14">
        <f>IF(A125="G",1,0)*G125</f>
        <v>0</v>
      </c>
      <c r="I125" s="14">
        <f>IF(A125="F",1,0)*G125</f>
        <v>0</v>
      </c>
      <c r="J125" s="17">
        <f>F125/C125</f>
        <v>339.86928104575162</v>
      </c>
      <c r="K125" s="18">
        <f>F125*G125</f>
        <v>0</v>
      </c>
      <c r="L125" s="14">
        <f>G125*C125</f>
        <v>0</v>
      </c>
    </row>
    <row r="126" spans="1:12" ht="16">
      <c r="A126" s="10" t="s">
        <v>0</v>
      </c>
      <c r="B126" s="11" t="s">
        <v>310</v>
      </c>
      <c r="C126" s="10">
        <v>13.2</v>
      </c>
      <c r="D126" s="10">
        <v>15</v>
      </c>
      <c r="E126" s="10" t="s">
        <v>196</v>
      </c>
      <c r="F126" s="15">
        <v>5200</v>
      </c>
      <c r="G126" s="16">
        <v>0</v>
      </c>
      <c r="H126" s="14">
        <f>IF(A126="G",1,0)*G126</f>
        <v>0</v>
      </c>
      <c r="I126" s="14">
        <f>IF(A126="F",1,0)*G126</f>
        <v>0</v>
      </c>
      <c r="J126" s="17">
        <f>F126/C126</f>
        <v>393.93939393939394</v>
      </c>
      <c r="K126" s="18">
        <f>F126*G126</f>
        <v>0</v>
      </c>
      <c r="L126" s="14">
        <f>G126*C126</f>
        <v>0</v>
      </c>
    </row>
    <row r="127" spans="1:12" ht="16">
      <c r="A127" s="10" t="s">
        <v>3</v>
      </c>
      <c r="B127" s="11" t="s">
        <v>313</v>
      </c>
      <c r="C127" s="10">
        <v>12.4</v>
      </c>
      <c r="D127" s="10">
        <v>13</v>
      </c>
      <c r="E127" s="10" t="s">
        <v>204</v>
      </c>
      <c r="F127" s="15">
        <v>5200</v>
      </c>
      <c r="G127" s="16">
        <v>0</v>
      </c>
      <c r="H127" s="14">
        <f>IF(A127="G",1,0)*G127</f>
        <v>0</v>
      </c>
      <c r="I127" s="14">
        <f>IF(A127="F",1,0)*G127</f>
        <v>0</v>
      </c>
      <c r="J127" s="17">
        <f>F127/C127</f>
        <v>419.35483870967738</v>
      </c>
      <c r="K127" s="18">
        <f>F127*G127</f>
        <v>0</v>
      </c>
      <c r="L127" s="14">
        <f>G127*C127</f>
        <v>0</v>
      </c>
    </row>
    <row r="128" spans="1:12" ht="16">
      <c r="A128" s="10" t="s">
        <v>0</v>
      </c>
      <c r="B128" s="11" t="s">
        <v>315</v>
      </c>
      <c r="C128" s="10">
        <v>20.5</v>
      </c>
      <c r="D128" s="10">
        <v>12</v>
      </c>
      <c r="E128" s="10" t="s">
        <v>199</v>
      </c>
      <c r="F128" s="15">
        <v>5100</v>
      </c>
      <c r="G128" s="16">
        <v>1</v>
      </c>
      <c r="H128" s="14">
        <f>IF(A128="G",1,0)*G128</f>
        <v>1</v>
      </c>
      <c r="I128" s="14">
        <f>IF(A128="F",1,0)*G128</f>
        <v>0</v>
      </c>
      <c r="J128" s="17">
        <f>F128/C128</f>
        <v>248.78048780487805</v>
      </c>
      <c r="K128" s="18">
        <f>F128*G128</f>
        <v>5100</v>
      </c>
      <c r="L128" s="14">
        <f>G128*C128</f>
        <v>20.5</v>
      </c>
    </row>
    <row r="129" spans="1:12" ht="16">
      <c r="A129" s="10" t="s">
        <v>0</v>
      </c>
      <c r="B129" s="11" t="s">
        <v>322</v>
      </c>
      <c r="C129" s="10">
        <v>16.2</v>
      </c>
      <c r="D129" s="10">
        <v>14</v>
      </c>
      <c r="E129" s="13" t="s">
        <v>394</v>
      </c>
      <c r="F129" s="15">
        <v>5100</v>
      </c>
      <c r="G129" s="16">
        <v>0</v>
      </c>
      <c r="H129" s="14">
        <f>IF(A129="G",1,0)*G129</f>
        <v>0</v>
      </c>
      <c r="I129" s="14">
        <f>IF(A129="F",1,0)*G129</f>
        <v>0</v>
      </c>
      <c r="J129" s="17">
        <f>F129/C129</f>
        <v>314.81481481481484</v>
      </c>
      <c r="K129" s="18">
        <f>F129*G129</f>
        <v>0</v>
      </c>
      <c r="L129" s="14">
        <f>G129*C129</f>
        <v>0</v>
      </c>
    </row>
    <row r="130" spans="1:12" ht="16">
      <c r="A130" s="10" t="s">
        <v>3</v>
      </c>
      <c r="B130" s="11" t="s">
        <v>316</v>
      </c>
      <c r="C130" s="10">
        <v>14.8</v>
      </c>
      <c r="D130" s="10">
        <v>14</v>
      </c>
      <c r="E130" s="13" t="s">
        <v>394</v>
      </c>
      <c r="F130" s="15">
        <v>5100</v>
      </c>
      <c r="G130" s="16">
        <v>0</v>
      </c>
      <c r="H130" s="14">
        <f>IF(A130="G",1,0)*G130</f>
        <v>0</v>
      </c>
      <c r="I130" s="14">
        <f>IF(A130="F",1,0)*G130</f>
        <v>0</v>
      </c>
      <c r="J130" s="17">
        <f>F130/C130</f>
        <v>344.59459459459458</v>
      </c>
      <c r="K130" s="18">
        <f>F130*G130</f>
        <v>0</v>
      </c>
      <c r="L130" s="14">
        <f>G130*C130</f>
        <v>0</v>
      </c>
    </row>
    <row r="131" spans="1:12" ht="16">
      <c r="A131" s="10" t="s">
        <v>3</v>
      </c>
      <c r="B131" s="11" t="s">
        <v>317</v>
      </c>
      <c r="C131" s="10">
        <v>14.7</v>
      </c>
      <c r="D131" s="10">
        <v>15</v>
      </c>
      <c r="E131" s="10" t="s">
        <v>184</v>
      </c>
      <c r="F131" s="15">
        <v>5100</v>
      </c>
      <c r="G131" s="16">
        <v>0</v>
      </c>
      <c r="H131" s="14">
        <f>IF(A131="G",1,0)*G131</f>
        <v>0</v>
      </c>
      <c r="I131" s="14">
        <f>IF(A131="F",1,0)*G131</f>
        <v>0</v>
      </c>
      <c r="J131" s="17">
        <f>F131/C131</f>
        <v>346.9387755102041</v>
      </c>
      <c r="K131" s="18">
        <f>F131*G131</f>
        <v>0</v>
      </c>
      <c r="L131" s="14">
        <f>G131*C131</f>
        <v>0</v>
      </c>
    </row>
    <row r="132" spans="1:12" ht="16">
      <c r="A132" s="10" t="s">
        <v>0</v>
      </c>
      <c r="B132" s="11" t="s">
        <v>319</v>
      </c>
      <c r="C132" s="10">
        <v>14.2</v>
      </c>
      <c r="D132" s="10">
        <v>12</v>
      </c>
      <c r="E132" s="10" t="s">
        <v>214</v>
      </c>
      <c r="F132" s="15">
        <v>5100</v>
      </c>
      <c r="G132" s="16">
        <v>0</v>
      </c>
      <c r="H132" s="14">
        <f>IF(A132="G",1,0)*G132</f>
        <v>0</v>
      </c>
      <c r="I132" s="14">
        <f>IF(A132="F",1,0)*G132</f>
        <v>0</v>
      </c>
      <c r="J132" s="17">
        <f>F132/C132</f>
        <v>359.15492957746483</v>
      </c>
      <c r="K132" s="18">
        <f>F132*G132</f>
        <v>0</v>
      </c>
      <c r="L132" s="14">
        <f>G132*C132</f>
        <v>0</v>
      </c>
    </row>
    <row r="133" spans="1:12" ht="16">
      <c r="A133" s="10" t="s">
        <v>3</v>
      </c>
      <c r="B133" s="11" t="s">
        <v>321</v>
      </c>
      <c r="C133" s="10">
        <v>12.4</v>
      </c>
      <c r="D133" s="10">
        <v>14</v>
      </c>
      <c r="E133" s="10" t="s">
        <v>239</v>
      </c>
      <c r="F133" s="15">
        <v>5100</v>
      </c>
      <c r="G133" s="16">
        <v>0</v>
      </c>
      <c r="H133" s="14">
        <f>IF(A133="G",1,0)*G133</f>
        <v>0</v>
      </c>
      <c r="I133" s="14">
        <f>IF(A133="F",1,0)*G133</f>
        <v>0</v>
      </c>
      <c r="J133" s="17">
        <f>F133/C133</f>
        <v>411.29032258064512</v>
      </c>
      <c r="K133" s="18">
        <f>F133*G133</f>
        <v>0</v>
      </c>
      <c r="L133" s="14">
        <f>G133*C133</f>
        <v>0</v>
      </c>
    </row>
    <row r="134" spans="1:12" ht="16">
      <c r="A134" s="10" t="s">
        <v>0</v>
      </c>
      <c r="B134" s="11" t="s">
        <v>318</v>
      </c>
      <c r="C134" s="10">
        <v>11.8</v>
      </c>
      <c r="D134" s="10">
        <v>12</v>
      </c>
      <c r="E134" s="13" t="s">
        <v>393</v>
      </c>
      <c r="F134" s="15">
        <v>5100</v>
      </c>
      <c r="G134" s="16">
        <v>0</v>
      </c>
      <c r="H134" s="14">
        <f>IF(A134="G",1,0)*G134</f>
        <v>0</v>
      </c>
      <c r="I134" s="14">
        <f>IF(A134="F",1,0)*G134</f>
        <v>0</v>
      </c>
      <c r="J134" s="17">
        <f>F134/C134</f>
        <v>432.20338983050846</v>
      </c>
      <c r="K134" s="18">
        <f>F134*G134</f>
        <v>0</v>
      </c>
      <c r="L134" s="14">
        <f>G134*C134</f>
        <v>0</v>
      </c>
    </row>
    <row r="135" spans="1:12" ht="16">
      <c r="A135" s="10" t="s">
        <v>3</v>
      </c>
      <c r="B135" s="11" t="s">
        <v>325</v>
      </c>
      <c r="C135" s="10">
        <v>16.899999999999999</v>
      </c>
      <c r="D135" s="10">
        <v>15</v>
      </c>
      <c r="E135" s="10" t="s">
        <v>182</v>
      </c>
      <c r="F135" s="15">
        <v>5000</v>
      </c>
      <c r="G135" s="16">
        <v>0</v>
      </c>
      <c r="H135" s="14">
        <f>IF(A135="G",1,0)*G135</f>
        <v>0</v>
      </c>
      <c r="I135" s="14">
        <f>IF(A135="F",1,0)*G135</f>
        <v>0</v>
      </c>
      <c r="J135" s="17">
        <f>F135/C135</f>
        <v>295.85798816568052</v>
      </c>
      <c r="K135" s="18">
        <f>F135*G135</f>
        <v>0</v>
      </c>
      <c r="L135" s="14">
        <f>G135*C135</f>
        <v>0</v>
      </c>
    </row>
    <row r="136" spans="1:12" ht="16">
      <c r="A136" s="10" t="s">
        <v>0</v>
      </c>
      <c r="B136" s="11" t="s">
        <v>326</v>
      </c>
      <c r="C136" s="10">
        <v>14.4</v>
      </c>
      <c r="D136" s="10">
        <v>13</v>
      </c>
      <c r="E136" s="10" t="s">
        <v>204</v>
      </c>
      <c r="F136" s="15">
        <v>5000</v>
      </c>
      <c r="G136" s="16">
        <v>0</v>
      </c>
      <c r="H136" s="14">
        <f>IF(A136="G",1,0)*G136</f>
        <v>0</v>
      </c>
      <c r="I136" s="14">
        <f>IF(A136="F",1,0)*G136</f>
        <v>0</v>
      </c>
      <c r="J136" s="17">
        <f>F136/C136</f>
        <v>347.22222222222223</v>
      </c>
      <c r="K136" s="18">
        <f>F136*G136</f>
        <v>0</v>
      </c>
      <c r="L136" s="14">
        <f>G136*C136</f>
        <v>0</v>
      </c>
    </row>
    <row r="137" spans="1:12" ht="16">
      <c r="A137" s="10" t="s">
        <v>3</v>
      </c>
      <c r="B137" s="11" t="s">
        <v>324</v>
      </c>
      <c r="C137" s="10">
        <v>12.3</v>
      </c>
      <c r="D137" s="10">
        <v>14</v>
      </c>
      <c r="E137" s="10" t="s">
        <v>239</v>
      </c>
      <c r="F137" s="15">
        <v>5000</v>
      </c>
      <c r="G137" s="16">
        <v>0</v>
      </c>
      <c r="H137" s="14">
        <f>IF(A137="G",1,0)*G137</f>
        <v>0</v>
      </c>
      <c r="I137" s="14">
        <f>IF(A137="F",1,0)*G137</f>
        <v>0</v>
      </c>
      <c r="J137" s="17">
        <f>F137/C137</f>
        <v>406.5040650406504</v>
      </c>
      <c r="K137" s="18">
        <f>F137*G137</f>
        <v>0</v>
      </c>
      <c r="L137" s="14">
        <f>G137*C137</f>
        <v>0</v>
      </c>
    </row>
    <row r="138" spans="1:12" ht="16">
      <c r="A138" s="10" t="s">
        <v>3</v>
      </c>
      <c r="B138" s="11" t="s">
        <v>328</v>
      </c>
      <c r="C138" s="10">
        <v>12.2</v>
      </c>
      <c r="D138" s="10">
        <v>11</v>
      </c>
      <c r="E138" s="10" t="s">
        <v>196</v>
      </c>
      <c r="F138" s="15">
        <v>5000</v>
      </c>
      <c r="G138" s="16">
        <v>0</v>
      </c>
      <c r="H138" s="14">
        <f>IF(A138="G",1,0)*G138</f>
        <v>0</v>
      </c>
      <c r="I138" s="14">
        <f>IF(A138="F",1,0)*G138</f>
        <v>0</v>
      </c>
      <c r="J138" s="17">
        <f>F138/C138</f>
        <v>409.8360655737705</v>
      </c>
      <c r="K138" s="18">
        <f>F138*G138</f>
        <v>0</v>
      </c>
      <c r="L138" s="14">
        <f>G138*C138</f>
        <v>0</v>
      </c>
    </row>
    <row r="139" spans="1:12" ht="16">
      <c r="A139" s="10" t="s">
        <v>0</v>
      </c>
      <c r="B139" s="11" t="s">
        <v>327</v>
      </c>
      <c r="C139" s="10">
        <v>11.3</v>
      </c>
      <c r="D139" s="10">
        <v>13</v>
      </c>
      <c r="E139" s="13" t="s">
        <v>389</v>
      </c>
      <c r="F139" s="15">
        <v>5000</v>
      </c>
      <c r="G139" s="16">
        <v>0</v>
      </c>
      <c r="H139" s="14">
        <f>IF(A139="G",1,0)*G139</f>
        <v>0</v>
      </c>
      <c r="I139" s="14">
        <f>IF(A139="F",1,0)*G139</f>
        <v>0</v>
      </c>
      <c r="J139" s="17">
        <f>F139/C139</f>
        <v>442.47787610619469</v>
      </c>
      <c r="K139" s="18">
        <f>F139*G139</f>
        <v>0</v>
      </c>
      <c r="L139" s="14">
        <f>G139*C139</f>
        <v>0</v>
      </c>
    </row>
    <row r="140" spans="1:12" ht="16">
      <c r="A140" s="10" t="s">
        <v>0</v>
      </c>
      <c r="B140" s="11" t="s">
        <v>323</v>
      </c>
      <c r="C140" s="10">
        <v>11.1</v>
      </c>
      <c r="D140" s="10">
        <v>15</v>
      </c>
      <c r="E140" s="10" t="s">
        <v>184</v>
      </c>
      <c r="F140" s="15">
        <v>5000</v>
      </c>
      <c r="G140" s="16">
        <v>0</v>
      </c>
      <c r="H140" s="14">
        <f>IF(A140="G",1,0)*G140</f>
        <v>0</v>
      </c>
      <c r="I140" s="14">
        <f>IF(A140="F",1,0)*G140</f>
        <v>0</v>
      </c>
      <c r="J140" s="17">
        <f>F140/C140</f>
        <v>450.45045045045049</v>
      </c>
      <c r="K140" s="18">
        <f>F140*G140</f>
        <v>0</v>
      </c>
      <c r="L140" s="14">
        <f>G140*C140</f>
        <v>0</v>
      </c>
    </row>
    <row r="141" spans="1:12" ht="16">
      <c r="A141" s="10" t="s">
        <v>3</v>
      </c>
      <c r="B141" s="11" t="s">
        <v>330</v>
      </c>
      <c r="C141" s="10">
        <v>19</v>
      </c>
      <c r="D141" s="10">
        <v>14</v>
      </c>
      <c r="E141" s="13" t="s">
        <v>386</v>
      </c>
      <c r="F141" s="15">
        <v>4900</v>
      </c>
      <c r="G141" s="16">
        <v>1</v>
      </c>
      <c r="H141" s="14">
        <f>IF(A141="G",1,0)*G141</f>
        <v>0</v>
      </c>
      <c r="I141" s="14">
        <f>IF(A141="F",1,0)*G141</f>
        <v>1</v>
      </c>
      <c r="J141" s="17">
        <f>F141/C141</f>
        <v>257.89473684210526</v>
      </c>
      <c r="K141" s="18">
        <f>F141*G141</f>
        <v>4900</v>
      </c>
      <c r="L141" s="14">
        <f>G141*C141</f>
        <v>19</v>
      </c>
    </row>
    <row r="142" spans="1:12" ht="16">
      <c r="A142" s="10" t="s">
        <v>0</v>
      </c>
      <c r="B142" s="11" t="s">
        <v>333</v>
      </c>
      <c r="C142" s="10">
        <v>14.7</v>
      </c>
      <c r="D142" s="10">
        <v>13</v>
      </c>
      <c r="E142" s="10" t="s">
        <v>187</v>
      </c>
      <c r="F142" s="15">
        <v>4900</v>
      </c>
      <c r="G142" s="16">
        <v>0</v>
      </c>
      <c r="H142" s="14">
        <f>IF(A142="G",1,0)*G142</f>
        <v>0</v>
      </c>
      <c r="I142" s="14">
        <f>IF(A142="F",1,0)*G142</f>
        <v>0</v>
      </c>
      <c r="J142" s="17">
        <f>F142/C142</f>
        <v>333.33333333333337</v>
      </c>
      <c r="K142" s="18">
        <f>F142*G142</f>
        <v>0</v>
      </c>
      <c r="L142" s="14">
        <f>G142*C142</f>
        <v>0</v>
      </c>
    </row>
    <row r="143" spans="1:12" ht="16">
      <c r="A143" s="10" t="s">
        <v>0</v>
      </c>
      <c r="B143" s="11" t="s">
        <v>331</v>
      </c>
      <c r="C143" s="10">
        <v>13.2</v>
      </c>
      <c r="D143" s="10">
        <v>12</v>
      </c>
      <c r="E143" s="10" t="s">
        <v>199</v>
      </c>
      <c r="F143" s="15">
        <v>4900</v>
      </c>
      <c r="G143" s="16">
        <v>0</v>
      </c>
      <c r="H143" s="14">
        <f>IF(A143="G",1,0)*G143</f>
        <v>0</v>
      </c>
      <c r="I143" s="14">
        <f>IF(A143="F",1,0)*G143</f>
        <v>0</v>
      </c>
      <c r="J143" s="17">
        <f>F143/C143</f>
        <v>371.21212121212125</v>
      </c>
      <c r="K143" s="18">
        <f>F143*G143</f>
        <v>0</v>
      </c>
      <c r="L143" s="14">
        <f>G143*C143</f>
        <v>0</v>
      </c>
    </row>
    <row r="144" spans="1:12" ht="16">
      <c r="A144" s="10" t="s">
        <v>0</v>
      </c>
      <c r="B144" s="11" t="s">
        <v>332</v>
      </c>
      <c r="C144" s="10">
        <v>12.7</v>
      </c>
      <c r="D144" s="10">
        <v>11</v>
      </c>
      <c r="E144" s="13" t="s">
        <v>393</v>
      </c>
      <c r="F144" s="15">
        <v>4900</v>
      </c>
      <c r="G144" s="16">
        <v>0</v>
      </c>
      <c r="H144" s="14">
        <f>IF(A144="G",1,0)*G144</f>
        <v>0</v>
      </c>
      <c r="I144" s="14">
        <f>IF(A144="F",1,0)*G144</f>
        <v>0</v>
      </c>
      <c r="J144" s="17">
        <f>F144/C144</f>
        <v>385.82677165354335</v>
      </c>
      <c r="K144" s="18">
        <f>F144*G144</f>
        <v>0</v>
      </c>
      <c r="L144" s="14">
        <f>G144*C144</f>
        <v>0</v>
      </c>
    </row>
    <row r="145" spans="1:12" ht="16">
      <c r="A145" s="10" t="s">
        <v>0</v>
      </c>
      <c r="B145" s="11" t="s">
        <v>329</v>
      </c>
      <c r="C145" s="10">
        <v>10.1</v>
      </c>
      <c r="D145" s="10">
        <v>12</v>
      </c>
      <c r="E145" s="13" t="s">
        <v>389</v>
      </c>
      <c r="F145" s="15">
        <v>4900</v>
      </c>
      <c r="G145" s="16">
        <v>0</v>
      </c>
      <c r="H145" s="14">
        <f>IF(A145="G",1,0)*G145</f>
        <v>0</v>
      </c>
      <c r="I145" s="14">
        <f>IF(A145="F",1,0)*G145</f>
        <v>0</v>
      </c>
      <c r="J145" s="17">
        <f>F145/C145</f>
        <v>485.14851485148517</v>
      </c>
      <c r="K145" s="18">
        <f>F145*G145</f>
        <v>0</v>
      </c>
      <c r="L145" s="14">
        <f>G145*C145</f>
        <v>0</v>
      </c>
    </row>
    <row r="146" spans="1:12" ht="16">
      <c r="A146" s="10" t="s">
        <v>0</v>
      </c>
      <c r="B146" s="11" t="s">
        <v>338</v>
      </c>
      <c r="C146" s="10">
        <v>14.9</v>
      </c>
      <c r="D146" s="10">
        <v>13</v>
      </c>
      <c r="E146" s="13" t="s">
        <v>391</v>
      </c>
      <c r="F146" s="15">
        <v>4800</v>
      </c>
      <c r="G146" s="16">
        <v>0</v>
      </c>
      <c r="H146" s="14">
        <f>IF(A146="G",1,0)*G146</f>
        <v>0</v>
      </c>
      <c r="I146" s="14">
        <f>IF(A146="F",1,0)*G146</f>
        <v>0</v>
      </c>
      <c r="J146" s="17">
        <f>F146/C146</f>
        <v>322.14765100671138</v>
      </c>
      <c r="K146" s="18">
        <f>F146*G146</f>
        <v>0</v>
      </c>
      <c r="L146" s="14">
        <f>G146*C146</f>
        <v>0</v>
      </c>
    </row>
    <row r="147" spans="1:12" ht="16">
      <c r="A147" s="10" t="s">
        <v>3</v>
      </c>
      <c r="B147" s="11" t="s">
        <v>336</v>
      </c>
      <c r="C147" s="10">
        <v>13.8</v>
      </c>
      <c r="D147" s="10">
        <v>13</v>
      </c>
      <c r="E147" s="13" t="s">
        <v>395</v>
      </c>
      <c r="F147" s="15">
        <v>4800</v>
      </c>
      <c r="G147" s="16">
        <v>0</v>
      </c>
      <c r="H147" s="14">
        <f>IF(A147="G",1,0)*G147</f>
        <v>0</v>
      </c>
      <c r="I147" s="14">
        <f>IF(A147="F",1,0)*G147</f>
        <v>0</v>
      </c>
      <c r="J147" s="17">
        <f>F147/C147</f>
        <v>347.82608695652175</v>
      </c>
      <c r="K147" s="18">
        <f>F147*G147</f>
        <v>0</v>
      </c>
      <c r="L147" s="14">
        <f>G147*C147</f>
        <v>0</v>
      </c>
    </row>
    <row r="148" spans="1:12" ht="16">
      <c r="A148" s="10" t="s">
        <v>3</v>
      </c>
      <c r="B148" s="11" t="s">
        <v>339</v>
      </c>
      <c r="C148" s="10">
        <v>13</v>
      </c>
      <c r="D148" s="10">
        <v>13</v>
      </c>
      <c r="E148" s="13" t="s">
        <v>390</v>
      </c>
      <c r="F148" s="15">
        <v>4800</v>
      </c>
      <c r="G148" s="16">
        <v>0</v>
      </c>
      <c r="H148" s="14">
        <f>IF(A148="G",1,0)*G148</f>
        <v>0</v>
      </c>
      <c r="I148" s="14">
        <f>IF(A148="F",1,0)*G148</f>
        <v>0</v>
      </c>
      <c r="J148" s="17">
        <f>F148/C148</f>
        <v>369.23076923076923</v>
      </c>
      <c r="K148" s="18">
        <f>F148*G148</f>
        <v>0</v>
      </c>
      <c r="L148" s="14">
        <f>G148*C148</f>
        <v>0</v>
      </c>
    </row>
    <row r="149" spans="1:12" ht="16">
      <c r="A149" s="10" t="s">
        <v>0</v>
      </c>
      <c r="B149" s="11" t="s">
        <v>343</v>
      </c>
      <c r="C149" s="10">
        <v>13</v>
      </c>
      <c r="D149" s="10">
        <v>15</v>
      </c>
      <c r="E149" s="13" t="s">
        <v>397</v>
      </c>
      <c r="F149" s="15">
        <v>4800</v>
      </c>
      <c r="G149" s="16">
        <v>0</v>
      </c>
      <c r="H149" s="14">
        <f>IF(A149="G",1,0)*G149</f>
        <v>0</v>
      </c>
      <c r="I149" s="14">
        <f>IF(A149="F",1,0)*G149</f>
        <v>0</v>
      </c>
      <c r="J149" s="17">
        <f>F149/C149</f>
        <v>369.23076923076923</v>
      </c>
      <c r="K149" s="18">
        <f>F149*G149</f>
        <v>0</v>
      </c>
      <c r="L149" s="14">
        <f>G149*C149</f>
        <v>0</v>
      </c>
    </row>
    <row r="150" spans="1:12" ht="16">
      <c r="A150" s="10" t="s">
        <v>0</v>
      </c>
      <c r="B150" s="11" t="s">
        <v>342</v>
      </c>
      <c r="C150" s="10">
        <v>12.9</v>
      </c>
      <c r="D150" s="10">
        <v>14</v>
      </c>
      <c r="E150" s="10" t="s">
        <v>177</v>
      </c>
      <c r="F150" s="15">
        <v>4800</v>
      </c>
      <c r="G150" s="16">
        <v>0</v>
      </c>
      <c r="H150" s="14">
        <f>IF(A150="G",1,0)*G150</f>
        <v>0</v>
      </c>
      <c r="I150" s="14">
        <f>IF(A150="F",1,0)*G150</f>
        <v>0</v>
      </c>
      <c r="J150" s="17">
        <f>F150/C150</f>
        <v>372.09302325581393</v>
      </c>
      <c r="K150" s="18">
        <f>F150*G150</f>
        <v>0</v>
      </c>
      <c r="L150" s="14">
        <f>G150*C150</f>
        <v>0</v>
      </c>
    </row>
    <row r="151" spans="1:12" ht="16">
      <c r="A151" s="10" t="s">
        <v>3</v>
      </c>
      <c r="B151" s="11" t="s">
        <v>337</v>
      </c>
      <c r="C151" s="10">
        <v>12.6</v>
      </c>
      <c r="D151" s="10">
        <v>10</v>
      </c>
      <c r="E151" s="13" t="s">
        <v>388</v>
      </c>
      <c r="F151" s="15">
        <v>4800</v>
      </c>
      <c r="G151" s="16">
        <v>0</v>
      </c>
      <c r="H151" s="14">
        <f>IF(A151="G",1,0)*G151</f>
        <v>0</v>
      </c>
      <c r="I151" s="14">
        <f>IF(A151="F",1,0)*G151</f>
        <v>0</v>
      </c>
      <c r="J151" s="17">
        <f>F151/C151</f>
        <v>380.95238095238096</v>
      </c>
      <c r="K151" s="18">
        <f>F151*G151</f>
        <v>0</v>
      </c>
      <c r="L151" s="14">
        <f>G151*C151</f>
        <v>0</v>
      </c>
    </row>
    <row r="152" spans="1:12" ht="16">
      <c r="A152" s="10" t="s">
        <v>3</v>
      </c>
      <c r="B152" s="11" t="s">
        <v>340</v>
      </c>
      <c r="C152" s="10">
        <v>12.6</v>
      </c>
      <c r="D152" s="10">
        <v>12</v>
      </c>
      <c r="E152" s="10" t="s">
        <v>199</v>
      </c>
      <c r="F152" s="15">
        <v>4800</v>
      </c>
      <c r="G152" s="16">
        <v>0</v>
      </c>
      <c r="H152" s="14">
        <f>IF(A152="G",1,0)*G152</f>
        <v>0</v>
      </c>
      <c r="I152" s="14">
        <f>IF(A152="F",1,0)*G152</f>
        <v>0</v>
      </c>
      <c r="J152" s="17">
        <f>F152/C152</f>
        <v>380.95238095238096</v>
      </c>
      <c r="K152" s="18">
        <f>F152*G152</f>
        <v>0</v>
      </c>
      <c r="L152" s="14">
        <f>G152*C152</f>
        <v>0</v>
      </c>
    </row>
    <row r="153" spans="1:12" ht="16">
      <c r="A153" s="10" t="s">
        <v>3</v>
      </c>
      <c r="B153" s="11" t="s">
        <v>335</v>
      </c>
      <c r="C153" s="10">
        <v>12.3</v>
      </c>
      <c r="D153" s="10">
        <v>15</v>
      </c>
      <c r="E153" s="10" t="s">
        <v>182</v>
      </c>
      <c r="F153" s="15">
        <v>4800</v>
      </c>
      <c r="G153" s="16">
        <v>0</v>
      </c>
      <c r="H153" s="14">
        <f>IF(A153="G",1,0)*G153</f>
        <v>0</v>
      </c>
      <c r="I153" s="14">
        <f>IF(A153="F",1,0)*G153</f>
        <v>0</v>
      </c>
      <c r="J153" s="17">
        <f>F153/C153</f>
        <v>390.2439024390244</v>
      </c>
      <c r="K153" s="18">
        <f>F153*G153</f>
        <v>0</v>
      </c>
      <c r="L153" s="14">
        <f>G153*C153</f>
        <v>0</v>
      </c>
    </row>
    <row r="154" spans="1:12" ht="16">
      <c r="A154" s="10" t="s">
        <v>0</v>
      </c>
      <c r="B154" s="11" t="s">
        <v>334</v>
      </c>
      <c r="C154" s="10">
        <v>11.9</v>
      </c>
      <c r="D154" s="10">
        <v>10</v>
      </c>
      <c r="E154" s="10" t="s">
        <v>191</v>
      </c>
      <c r="F154" s="15">
        <v>4800</v>
      </c>
      <c r="G154" s="16">
        <v>0</v>
      </c>
      <c r="H154" s="14">
        <f>IF(A154="G",1,0)*G154</f>
        <v>0</v>
      </c>
      <c r="I154" s="14">
        <f>IF(A154="F",1,0)*G154</f>
        <v>0</v>
      </c>
      <c r="J154" s="17">
        <f>F154/C154</f>
        <v>403.36134453781511</v>
      </c>
      <c r="K154" s="18">
        <f>F154*G154</f>
        <v>0</v>
      </c>
      <c r="L154" s="14">
        <f>G154*C154</f>
        <v>0</v>
      </c>
    </row>
    <row r="155" spans="1:12" ht="16">
      <c r="A155" s="10" t="s">
        <v>3</v>
      </c>
      <c r="B155" s="11" t="s">
        <v>341</v>
      </c>
      <c r="C155" s="10">
        <v>11.4</v>
      </c>
      <c r="D155" s="10">
        <v>14</v>
      </c>
      <c r="E155" s="13" t="s">
        <v>387</v>
      </c>
      <c r="F155" s="15">
        <v>4800</v>
      </c>
      <c r="G155" s="16">
        <v>0</v>
      </c>
      <c r="H155" s="14">
        <f>IF(A155="G",1,0)*G155</f>
        <v>0</v>
      </c>
      <c r="I155" s="14">
        <f>IF(A155="F",1,0)*G155</f>
        <v>0</v>
      </c>
      <c r="J155" s="17">
        <f>F155/C155</f>
        <v>421.05263157894734</v>
      </c>
      <c r="K155" s="18">
        <f>F155*G155</f>
        <v>0</v>
      </c>
      <c r="L155" s="14">
        <f>G155*C155</f>
        <v>0</v>
      </c>
    </row>
    <row r="156" spans="1:12" ht="16">
      <c r="A156" s="10" t="s">
        <v>3</v>
      </c>
      <c r="B156" s="11" t="s">
        <v>346</v>
      </c>
      <c r="C156" s="10">
        <v>14.1</v>
      </c>
      <c r="D156" s="10">
        <v>13</v>
      </c>
      <c r="E156" s="10" t="s">
        <v>212</v>
      </c>
      <c r="F156" s="15">
        <v>4700</v>
      </c>
      <c r="G156" s="16">
        <v>0</v>
      </c>
      <c r="H156" s="14">
        <f>IF(A156="G",1,0)*G156</f>
        <v>0</v>
      </c>
      <c r="I156" s="14">
        <f>IF(A156="F",1,0)*G156</f>
        <v>0</v>
      </c>
      <c r="J156" s="17">
        <f>F156/C156</f>
        <v>333.33333333333331</v>
      </c>
      <c r="K156" s="18">
        <f>F156*G156</f>
        <v>0</v>
      </c>
      <c r="L156" s="14">
        <f>G156*C156</f>
        <v>0</v>
      </c>
    </row>
    <row r="157" spans="1:12" ht="16">
      <c r="A157" s="10" t="s">
        <v>3</v>
      </c>
      <c r="B157" s="11" t="s">
        <v>345</v>
      </c>
      <c r="C157" s="10">
        <v>13.1</v>
      </c>
      <c r="D157" s="10">
        <v>14</v>
      </c>
      <c r="E157" s="13" t="s">
        <v>396</v>
      </c>
      <c r="F157" s="15">
        <v>4700</v>
      </c>
      <c r="G157" s="16">
        <v>0</v>
      </c>
      <c r="H157" s="14">
        <f>IF(A157="G",1,0)*G157</f>
        <v>0</v>
      </c>
      <c r="I157" s="14">
        <f>IF(A157="F",1,0)*G157</f>
        <v>0</v>
      </c>
      <c r="J157" s="17">
        <f>F157/C157</f>
        <v>358.7786259541985</v>
      </c>
      <c r="K157" s="18">
        <f>F157*G157</f>
        <v>0</v>
      </c>
      <c r="L157" s="14">
        <f>G157*C157</f>
        <v>0</v>
      </c>
    </row>
    <row r="158" spans="1:12" ht="16">
      <c r="A158" s="10" t="s">
        <v>0</v>
      </c>
      <c r="B158" s="11" t="s">
        <v>344</v>
      </c>
      <c r="C158" s="10">
        <v>12.1</v>
      </c>
      <c r="D158" s="10">
        <v>13</v>
      </c>
      <c r="E158" s="13" t="s">
        <v>390</v>
      </c>
      <c r="F158" s="15">
        <v>4700</v>
      </c>
      <c r="G158" s="16">
        <v>0</v>
      </c>
      <c r="H158" s="14">
        <f>IF(A158="G",1,0)*G158</f>
        <v>0</v>
      </c>
      <c r="I158" s="14">
        <f>IF(A158="F",1,0)*G158</f>
        <v>0</v>
      </c>
      <c r="J158" s="17">
        <f>F158/C158</f>
        <v>388.42975206611573</v>
      </c>
      <c r="K158" s="18">
        <f>F158*G158</f>
        <v>0</v>
      </c>
      <c r="L158" s="14">
        <f>G158*C158</f>
        <v>0</v>
      </c>
    </row>
    <row r="159" spans="1:12" ht="16">
      <c r="A159" s="10" t="s">
        <v>3</v>
      </c>
      <c r="B159" s="11" t="s">
        <v>348</v>
      </c>
      <c r="C159" s="10">
        <v>14.9</v>
      </c>
      <c r="D159" s="10">
        <v>13</v>
      </c>
      <c r="E159" s="13" t="s">
        <v>395</v>
      </c>
      <c r="F159" s="15">
        <v>4600</v>
      </c>
      <c r="G159" s="16">
        <v>0</v>
      </c>
      <c r="H159" s="14">
        <f>IF(A159="G",1,0)*G159</f>
        <v>0</v>
      </c>
      <c r="I159" s="14">
        <f>IF(A159="F",1,0)*G159</f>
        <v>0</v>
      </c>
      <c r="J159" s="17">
        <f>F159/C159</f>
        <v>308.72483221476512</v>
      </c>
      <c r="K159" s="18">
        <f>F159*G159</f>
        <v>0</v>
      </c>
      <c r="L159" s="14">
        <f>G159*C159</f>
        <v>0</v>
      </c>
    </row>
    <row r="160" spans="1:12" ht="16">
      <c r="A160" s="10" t="s">
        <v>0</v>
      </c>
      <c r="B160" s="11" t="s">
        <v>347</v>
      </c>
      <c r="C160" s="10">
        <v>13.6</v>
      </c>
      <c r="D160" s="10">
        <v>14</v>
      </c>
      <c r="E160" s="13" t="s">
        <v>398</v>
      </c>
      <c r="F160" s="15">
        <v>4600</v>
      </c>
      <c r="G160" s="16">
        <v>0</v>
      </c>
      <c r="H160" s="14">
        <f>IF(A160="G",1,0)*G160</f>
        <v>0</v>
      </c>
      <c r="I160" s="14">
        <f>IF(A160="F",1,0)*G160</f>
        <v>0</v>
      </c>
      <c r="J160" s="17">
        <f>F160/C160</f>
        <v>338.23529411764707</v>
      </c>
      <c r="K160" s="18">
        <f>F160*G160</f>
        <v>0</v>
      </c>
      <c r="L160" s="14">
        <f>G160*C160</f>
        <v>0</v>
      </c>
    </row>
    <row r="161" spans="1:12" ht="16">
      <c r="A161" s="10" t="s">
        <v>3</v>
      </c>
      <c r="B161" s="11" t="s">
        <v>349</v>
      </c>
      <c r="C161" s="10">
        <v>12.8</v>
      </c>
      <c r="D161" s="10">
        <v>13</v>
      </c>
      <c r="E161" s="10" t="s">
        <v>194</v>
      </c>
      <c r="F161" s="15">
        <v>4600</v>
      </c>
      <c r="G161" s="16">
        <v>0</v>
      </c>
      <c r="H161" s="14">
        <f>IF(A161="G",1,0)*G161</f>
        <v>0</v>
      </c>
      <c r="I161" s="14">
        <f>IF(A161="F",1,0)*G161</f>
        <v>0</v>
      </c>
      <c r="J161" s="17">
        <f>F161/C161</f>
        <v>359.375</v>
      </c>
      <c r="K161" s="18">
        <f>F161*G161</f>
        <v>0</v>
      </c>
      <c r="L161" s="14">
        <f>G161*C161</f>
        <v>0</v>
      </c>
    </row>
    <row r="162" spans="1:12" ht="16">
      <c r="A162" s="10" t="s">
        <v>0</v>
      </c>
      <c r="B162" s="11" t="s">
        <v>376</v>
      </c>
      <c r="C162" s="10">
        <v>17.399999999999999</v>
      </c>
      <c r="D162" s="10">
        <v>14</v>
      </c>
      <c r="E162" s="13" t="s">
        <v>394</v>
      </c>
      <c r="F162" s="15">
        <v>4500</v>
      </c>
      <c r="G162" s="16">
        <v>0</v>
      </c>
      <c r="H162" s="14">
        <f>IF(A162="G",1,0)*G162</f>
        <v>0</v>
      </c>
      <c r="I162" s="14">
        <f>IF(A162="F",1,0)*G162</f>
        <v>0</v>
      </c>
      <c r="J162" s="17">
        <f>F162/C162</f>
        <v>258.62068965517244</v>
      </c>
      <c r="K162" s="18">
        <f>F162*G162</f>
        <v>0</v>
      </c>
      <c r="L162" s="14">
        <f>G162*C162</f>
        <v>0</v>
      </c>
    </row>
    <row r="163" spans="1:12" ht="16">
      <c r="A163" s="10" t="s">
        <v>0</v>
      </c>
      <c r="B163" s="11" t="s">
        <v>380</v>
      </c>
      <c r="C163" s="10">
        <v>17</v>
      </c>
      <c r="D163" s="10">
        <v>7</v>
      </c>
      <c r="E163" s="13" t="s">
        <v>392</v>
      </c>
      <c r="F163" s="15">
        <v>4500</v>
      </c>
      <c r="G163" s="16">
        <v>0</v>
      </c>
      <c r="H163" s="14">
        <f>IF(A163="G",1,0)*G163</f>
        <v>0</v>
      </c>
      <c r="I163" s="14">
        <f>IF(A163="F",1,0)*G163</f>
        <v>0</v>
      </c>
      <c r="J163" s="17">
        <f>F163/C163</f>
        <v>264.70588235294116</v>
      </c>
      <c r="K163" s="18">
        <f>F163*G163</f>
        <v>0</v>
      </c>
      <c r="L163" s="14">
        <f>G163*C163</f>
        <v>0</v>
      </c>
    </row>
    <row r="164" spans="1:12" ht="16">
      <c r="A164" s="10" t="s">
        <v>3</v>
      </c>
      <c r="B164" s="11" t="s">
        <v>375</v>
      </c>
      <c r="C164" s="10">
        <v>15.4</v>
      </c>
      <c r="D164" s="10">
        <v>15</v>
      </c>
      <c r="E164" s="13" t="s">
        <v>397</v>
      </c>
      <c r="F164" s="15">
        <v>4500</v>
      </c>
      <c r="G164" s="16">
        <v>0</v>
      </c>
      <c r="H164" s="14">
        <f>IF(A164="G",1,0)*G164</f>
        <v>0</v>
      </c>
      <c r="I164" s="14">
        <f>IF(A164="F",1,0)*G164</f>
        <v>0</v>
      </c>
      <c r="J164" s="17">
        <f>F164/C164</f>
        <v>292.20779220779218</v>
      </c>
      <c r="K164" s="18">
        <f>F164*G164</f>
        <v>0</v>
      </c>
      <c r="L164" s="14">
        <f>G164*C164</f>
        <v>0</v>
      </c>
    </row>
    <row r="165" spans="1:12" ht="16">
      <c r="A165" s="10" t="s">
        <v>3</v>
      </c>
      <c r="B165" s="11" t="s">
        <v>352</v>
      </c>
      <c r="C165" s="10">
        <v>14.5</v>
      </c>
      <c r="D165" s="10">
        <v>13</v>
      </c>
      <c r="E165" s="13" t="s">
        <v>390</v>
      </c>
      <c r="F165" s="15">
        <v>4500</v>
      </c>
      <c r="G165" s="16">
        <v>0</v>
      </c>
      <c r="H165" s="14">
        <f>IF(A165="G",1,0)*G165</f>
        <v>0</v>
      </c>
      <c r="I165" s="14">
        <f>IF(A165="F",1,0)*G165</f>
        <v>0</v>
      </c>
      <c r="J165" s="17">
        <f>F165/C165</f>
        <v>310.34482758620692</v>
      </c>
      <c r="K165" s="18">
        <f>F165*G165</f>
        <v>0</v>
      </c>
      <c r="L165" s="14">
        <f>G165*C165</f>
        <v>0</v>
      </c>
    </row>
    <row r="166" spans="1:12" ht="16">
      <c r="A166" s="10" t="s">
        <v>3</v>
      </c>
      <c r="B166" s="11" t="s">
        <v>361</v>
      </c>
      <c r="C166" s="10">
        <v>14.5</v>
      </c>
      <c r="D166" s="10">
        <v>15</v>
      </c>
      <c r="E166" s="13" t="s">
        <v>386</v>
      </c>
      <c r="F166" s="15">
        <v>4500</v>
      </c>
      <c r="G166" s="16">
        <v>0</v>
      </c>
      <c r="H166" s="14">
        <f>IF(A166="G",1,0)*G166</f>
        <v>0</v>
      </c>
      <c r="I166" s="14">
        <f>IF(A166="F",1,0)*G166</f>
        <v>0</v>
      </c>
      <c r="J166" s="17">
        <f>F166/C166</f>
        <v>310.34482758620692</v>
      </c>
      <c r="K166" s="18">
        <f>F166*G166</f>
        <v>0</v>
      </c>
      <c r="L166" s="14">
        <f>G166*C166</f>
        <v>0</v>
      </c>
    </row>
    <row r="167" spans="1:12" ht="16">
      <c r="A167" s="10" t="s">
        <v>3</v>
      </c>
      <c r="B167" s="11" t="s">
        <v>381</v>
      </c>
      <c r="C167" s="10">
        <v>14.1</v>
      </c>
      <c r="D167" s="10">
        <v>14</v>
      </c>
      <c r="E167" s="10" t="s">
        <v>239</v>
      </c>
      <c r="F167" s="15">
        <v>4500</v>
      </c>
      <c r="G167" s="16">
        <v>0</v>
      </c>
      <c r="H167" s="14">
        <f>IF(A167="G",1,0)*G167</f>
        <v>0</v>
      </c>
      <c r="I167" s="14">
        <f>IF(A167="F",1,0)*G167</f>
        <v>0</v>
      </c>
      <c r="J167" s="17">
        <f>F167/C167</f>
        <v>319.14893617021278</v>
      </c>
      <c r="K167" s="18">
        <f>F167*G167</f>
        <v>0</v>
      </c>
      <c r="L167" s="14">
        <f>G167*C167</f>
        <v>0</v>
      </c>
    </row>
    <row r="168" spans="1:12" ht="16">
      <c r="A168" s="10" t="s">
        <v>3</v>
      </c>
      <c r="B168" s="11" t="s">
        <v>373</v>
      </c>
      <c r="C168" s="10">
        <v>13.7</v>
      </c>
      <c r="D168" s="10">
        <v>13</v>
      </c>
      <c r="E168" s="10" t="s">
        <v>212</v>
      </c>
      <c r="F168" s="15">
        <v>4500</v>
      </c>
      <c r="G168" s="16">
        <v>0</v>
      </c>
      <c r="H168" s="14">
        <f>IF(A168="G",1,0)*G168</f>
        <v>0</v>
      </c>
      <c r="I168" s="14">
        <f>IF(A168="F",1,0)*G168</f>
        <v>0</v>
      </c>
      <c r="J168" s="17">
        <f>F168/C168</f>
        <v>328.46715328467155</v>
      </c>
      <c r="K168" s="18">
        <f>F168*G168</f>
        <v>0</v>
      </c>
      <c r="L168" s="14">
        <f>G168*C168</f>
        <v>0</v>
      </c>
    </row>
    <row r="169" spans="1:12" ht="16">
      <c r="A169" s="10" t="s">
        <v>0</v>
      </c>
      <c r="B169" s="11" t="s">
        <v>371</v>
      </c>
      <c r="C169" s="10">
        <v>13.3</v>
      </c>
      <c r="D169" s="10">
        <v>13</v>
      </c>
      <c r="E169" s="13" t="s">
        <v>391</v>
      </c>
      <c r="F169" s="15">
        <v>4500</v>
      </c>
      <c r="G169" s="16">
        <v>0</v>
      </c>
      <c r="H169" s="14">
        <f>IF(A169="G",1,0)*G169</f>
        <v>0</v>
      </c>
      <c r="I169" s="14">
        <f>IF(A169="F",1,0)*G169</f>
        <v>0</v>
      </c>
      <c r="J169" s="17">
        <f>F169/C169</f>
        <v>338.3458646616541</v>
      </c>
      <c r="K169" s="18">
        <f>F169*G169</f>
        <v>0</v>
      </c>
      <c r="L169" s="14">
        <f>G169*C169</f>
        <v>0</v>
      </c>
    </row>
    <row r="170" spans="1:12" ht="16">
      <c r="A170" s="10" t="s">
        <v>0</v>
      </c>
      <c r="B170" s="11" t="s">
        <v>370</v>
      </c>
      <c r="C170" s="10">
        <v>12.9</v>
      </c>
      <c r="D170" s="10">
        <v>15</v>
      </c>
      <c r="E170" s="10" t="s">
        <v>184</v>
      </c>
      <c r="F170" s="15">
        <v>4500</v>
      </c>
      <c r="G170" s="16">
        <v>0</v>
      </c>
      <c r="H170" s="14">
        <f>IF(A170="G",1,0)*G170</f>
        <v>0</v>
      </c>
      <c r="I170" s="14">
        <f>IF(A170="F",1,0)*G170</f>
        <v>0</v>
      </c>
      <c r="J170" s="17">
        <f>F170/C170</f>
        <v>348.83720930232556</v>
      </c>
      <c r="K170" s="18">
        <f>F170*G170</f>
        <v>0</v>
      </c>
      <c r="L170" s="14">
        <f>G170*C170</f>
        <v>0</v>
      </c>
    </row>
    <row r="171" spans="1:12" ht="16">
      <c r="A171" s="10" t="s">
        <v>0</v>
      </c>
      <c r="B171" s="11" t="s">
        <v>382</v>
      </c>
      <c r="C171" s="10">
        <v>12.8</v>
      </c>
      <c r="D171" s="10">
        <v>15</v>
      </c>
      <c r="E171" s="13" t="s">
        <v>386</v>
      </c>
      <c r="F171" s="15">
        <v>4500</v>
      </c>
      <c r="G171" s="16">
        <v>0</v>
      </c>
      <c r="H171" s="14">
        <f>IF(A171="G",1,0)*G171</f>
        <v>0</v>
      </c>
      <c r="I171" s="14">
        <f>IF(A171="F",1,0)*G171</f>
        <v>0</v>
      </c>
      <c r="J171" s="17">
        <f>F171/C171</f>
        <v>351.5625</v>
      </c>
      <c r="K171" s="18">
        <f>F171*G171</f>
        <v>0</v>
      </c>
      <c r="L171" s="14">
        <f>G171*C171</f>
        <v>0</v>
      </c>
    </row>
    <row r="172" spans="1:12" ht="16">
      <c r="A172" s="10" t="s">
        <v>3</v>
      </c>
      <c r="B172" s="11" t="s">
        <v>351</v>
      </c>
      <c r="C172" s="10">
        <v>12.3</v>
      </c>
      <c r="D172" s="10">
        <v>10</v>
      </c>
      <c r="E172" s="10" t="s">
        <v>191</v>
      </c>
      <c r="F172" s="15">
        <v>4500</v>
      </c>
      <c r="G172" s="16">
        <v>0</v>
      </c>
      <c r="H172" s="14">
        <f>IF(A172="G",1,0)*G172</f>
        <v>0</v>
      </c>
      <c r="I172" s="14">
        <f>IF(A172="F",1,0)*G172</f>
        <v>0</v>
      </c>
      <c r="J172" s="17">
        <f>F172/C172</f>
        <v>365.85365853658533</v>
      </c>
      <c r="K172" s="18">
        <f>F172*G172</f>
        <v>0</v>
      </c>
      <c r="L172" s="14">
        <f>G172*C172</f>
        <v>0</v>
      </c>
    </row>
    <row r="173" spans="1:12" ht="16">
      <c r="A173" s="10" t="s">
        <v>3</v>
      </c>
      <c r="B173" s="11" t="s">
        <v>365</v>
      </c>
      <c r="C173" s="10">
        <v>12.3</v>
      </c>
      <c r="D173" s="10">
        <v>10</v>
      </c>
      <c r="E173" s="13" t="s">
        <v>395</v>
      </c>
      <c r="F173" s="15">
        <v>4500</v>
      </c>
      <c r="G173" s="16">
        <v>0</v>
      </c>
      <c r="H173" s="14">
        <f>IF(A173="G",1,0)*G173</f>
        <v>0</v>
      </c>
      <c r="I173" s="14">
        <f>IF(A173="F",1,0)*G173</f>
        <v>0</v>
      </c>
      <c r="J173" s="17">
        <f>F173/C173</f>
        <v>365.85365853658533</v>
      </c>
      <c r="K173" s="18">
        <f>F173*G173</f>
        <v>0</v>
      </c>
      <c r="L173" s="14">
        <f>G173*C173</f>
        <v>0</v>
      </c>
    </row>
    <row r="174" spans="1:12" ht="16">
      <c r="A174" s="10" t="s">
        <v>3</v>
      </c>
      <c r="B174" s="11" t="s">
        <v>369</v>
      </c>
      <c r="C174" s="10">
        <v>12.2</v>
      </c>
      <c r="D174" s="10">
        <v>15</v>
      </c>
      <c r="E174" s="10" t="s">
        <v>184</v>
      </c>
      <c r="F174" s="15">
        <v>4500</v>
      </c>
      <c r="G174" s="16">
        <v>0</v>
      </c>
      <c r="H174" s="14">
        <f>IF(A174="G",1,0)*G174</f>
        <v>0</v>
      </c>
      <c r="I174" s="14">
        <f>IF(A174="F",1,0)*G174</f>
        <v>0</v>
      </c>
      <c r="J174" s="17">
        <f>F174/C174</f>
        <v>368.85245901639348</v>
      </c>
      <c r="K174" s="18">
        <f>F174*G174</f>
        <v>0</v>
      </c>
      <c r="L174" s="14">
        <f>G174*C174</f>
        <v>0</v>
      </c>
    </row>
    <row r="175" spans="1:12" ht="16">
      <c r="A175" s="10" t="s">
        <v>3</v>
      </c>
      <c r="B175" s="11" t="s">
        <v>358</v>
      </c>
      <c r="C175" s="10">
        <v>11.9</v>
      </c>
      <c r="D175" s="10">
        <v>15</v>
      </c>
      <c r="E175" s="10" t="s">
        <v>179</v>
      </c>
      <c r="F175" s="15">
        <v>4500</v>
      </c>
      <c r="G175" s="16">
        <v>0</v>
      </c>
      <c r="H175" s="14">
        <f>IF(A175="G",1,0)*G175</f>
        <v>0</v>
      </c>
      <c r="I175" s="14">
        <f>IF(A175="F",1,0)*G175</f>
        <v>0</v>
      </c>
      <c r="J175" s="17">
        <f>F175/C175</f>
        <v>378.15126050420167</v>
      </c>
      <c r="K175" s="18">
        <f>F175*G175</f>
        <v>0</v>
      </c>
      <c r="L175" s="14">
        <f>G175*C175</f>
        <v>0</v>
      </c>
    </row>
    <row r="176" spans="1:12" ht="16">
      <c r="A176" s="10" t="s">
        <v>0</v>
      </c>
      <c r="B176" s="11" t="s">
        <v>399</v>
      </c>
      <c r="C176" s="10">
        <v>11.7</v>
      </c>
      <c r="D176" s="10">
        <v>4</v>
      </c>
      <c r="E176" s="10" t="s">
        <v>182</v>
      </c>
      <c r="F176" s="15">
        <v>4500</v>
      </c>
      <c r="G176" s="16">
        <v>0</v>
      </c>
      <c r="H176" s="14">
        <f>IF(A176="G",1,0)*G176</f>
        <v>0</v>
      </c>
      <c r="I176" s="14">
        <f>IF(A176="F",1,0)*G176</f>
        <v>0</v>
      </c>
      <c r="J176" s="17">
        <f>F176/C176</f>
        <v>384.61538461538464</v>
      </c>
      <c r="K176" s="18">
        <f>F176*G176</f>
        <v>0</v>
      </c>
      <c r="L176" s="14">
        <f>G176*C176</f>
        <v>0</v>
      </c>
    </row>
    <row r="177" spans="1:12" ht="16">
      <c r="A177" s="10" t="s">
        <v>3</v>
      </c>
      <c r="B177" s="11" t="s">
        <v>384</v>
      </c>
      <c r="C177" s="10">
        <v>11.7</v>
      </c>
      <c r="D177" s="10">
        <v>13</v>
      </c>
      <c r="E177" s="13" t="s">
        <v>395</v>
      </c>
      <c r="F177" s="15">
        <v>4500</v>
      </c>
      <c r="G177" s="16">
        <v>0</v>
      </c>
      <c r="H177" s="14">
        <f>IF(A177="G",1,0)*G177</f>
        <v>0</v>
      </c>
      <c r="I177" s="14">
        <f>IF(A177="F",1,0)*G177</f>
        <v>0</v>
      </c>
      <c r="J177" s="17">
        <f>F177/C177</f>
        <v>384.61538461538464</v>
      </c>
      <c r="K177" s="18">
        <f>F177*G177</f>
        <v>0</v>
      </c>
      <c r="L177" s="14">
        <f>G177*C177</f>
        <v>0</v>
      </c>
    </row>
    <row r="178" spans="1:12" ht="16">
      <c r="A178" s="10" t="s">
        <v>0</v>
      </c>
      <c r="B178" s="11" t="s">
        <v>356</v>
      </c>
      <c r="C178" s="10">
        <v>11.6</v>
      </c>
      <c r="D178" s="10">
        <v>15</v>
      </c>
      <c r="E178" s="13" t="s">
        <v>385</v>
      </c>
      <c r="F178" s="15">
        <v>4500</v>
      </c>
      <c r="G178" s="16">
        <v>0</v>
      </c>
      <c r="H178" s="14">
        <f>IF(A178="G",1,0)*G178</f>
        <v>0</v>
      </c>
      <c r="I178" s="14">
        <f>IF(A178="F",1,0)*G178</f>
        <v>0</v>
      </c>
      <c r="J178" s="17">
        <f>F178/C178</f>
        <v>387.93103448275861</v>
      </c>
      <c r="K178" s="18">
        <f>F178*G178</f>
        <v>0</v>
      </c>
      <c r="L178" s="14">
        <f>G178*C178</f>
        <v>0</v>
      </c>
    </row>
    <row r="179" spans="1:12" ht="16">
      <c r="A179" s="10" t="s">
        <v>3</v>
      </c>
      <c r="B179" s="11" t="s">
        <v>374</v>
      </c>
      <c r="C179" s="10">
        <v>11.4</v>
      </c>
      <c r="D179" s="10">
        <v>13</v>
      </c>
      <c r="E179" s="13" t="s">
        <v>397</v>
      </c>
      <c r="F179" s="15">
        <v>4500</v>
      </c>
      <c r="G179" s="16">
        <v>0</v>
      </c>
      <c r="H179" s="14">
        <f>IF(A179="G",1,0)*G179</f>
        <v>0</v>
      </c>
      <c r="I179" s="14">
        <f>IF(A179="F",1,0)*G179</f>
        <v>0</v>
      </c>
      <c r="J179" s="17">
        <f>F179/C179</f>
        <v>394.73684210526312</v>
      </c>
      <c r="K179" s="18">
        <f>F179*G179</f>
        <v>0</v>
      </c>
      <c r="L179" s="14">
        <f>G179*C179</f>
        <v>0</v>
      </c>
    </row>
    <row r="180" spans="1:12" ht="16">
      <c r="A180" s="10" t="s">
        <v>3</v>
      </c>
      <c r="B180" s="11" t="s">
        <v>354</v>
      </c>
      <c r="C180" s="10">
        <v>11</v>
      </c>
      <c r="D180" s="10">
        <v>13</v>
      </c>
      <c r="E180" s="13" t="s">
        <v>391</v>
      </c>
      <c r="F180" s="15">
        <v>4500</v>
      </c>
      <c r="G180" s="16">
        <v>0</v>
      </c>
      <c r="H180" s="14">
        <f>IF(A180="G",1,0)*G180</f>
        <v>0</v>
      </c>
      <c r="I180" s="14">
        <f>IF(A180="F",1,0)*G180</f>
        <v>0</v>
      </c>
      <c r="J180" s="17">
        <f>F180/C180</f>
        <v>409.09090909090907</v>
      </c>
      <c r="K180" s="18">
        <f>F180*G180</f>
        <v>0</v>
      </c>
      <c r="L180" s="14">
        <f>G180*C180</f>
        <v>0</v>
      </c>
    </row>
    <row r="181" spans="1:12" ht="16">
      <c r="A181" s="10" t="s">
        <v>3</v>
      </c>
      <c r="B181" s="11" t="s">
        <v>353</v>
      </c>
      <c r="C181" s="10">
        <v>10.9</v>
      </c>
      <c r="D181" s="10">
        <v>12</v>
      </c>
      <c r="E181" s="10" t="s">
        <v>187</v>
      </c>
      <c r="F181" s="15">
        <v>4500</v>
      </c>
      <c r="G181" s="16">
        <v>0</v>
      </c>
      <c r="H181" s="14">
        <f>IF(A181="G",1,0)*G181</f>
        <v>0</v>
      </c>
      <c r="I181" s="14">
        <f>IF(A181="F",1,0)*G181</f>
        <v>0</v>
      </c>
      <c r="J181" s="17">
        <f>F181/C181</f>
        <v>412.8440366972477</v>
      </c>
      <c r="K181" s="18">
        <f>F181*G181</f>
        <v>0</v>
      </c>
      <c r="L181" s="14">
        <f>G181*C181</f>
        <v>0</v>
      </c>
    </row>
    <row r="182" spans="1:12" ht="16">
      <c r="A182" s="10" t="s">
        <v>3</v>
      </c>
      <c r="B182" s="11" t="s">
        <v>360</v>
      </c>
      <c r="C182" s="10">
        <v>10.9</v>
      </c>
      <c r="D182" s="10">
        <v>14</v>
      </c>
      <c r="E182" s="13" t="s">
        <v>386</v>
      </c>
      <c r="F182" s="15">
        <v>4500</v>
      </c>
      <c r="G182" s="16">
        <v>0</v>
      </c>
      <c r="H182" s="14">
        <f>IF(A182="G",1,0)*G182</f>
        <v>0</v>
      </c>
      <c r="I182" s="14">
        <f>IF(A182="F",1,0)*G182</f>
        <v>0</v>
      </c>
      <c r="J182" s="17">
        <f>F182/C182</f>
        <v>412.8440366972477</v>
      </c>
      <c r="K182" s="18">
        <f>F182*G182</f>
        <v>0</v>
      </c>
      <c r="L182" s="14">
        <f>G182*C182</f>
        <v>0</v>
      </c>
    </row>
    <row r="183" spans="1:12" ht="16">
      <c r="A183" s="10" t="s">
        <v>0</v>
      </c>
      <c r="B183" s="11" t="s">
        <v>367</v>
      </c>
      <c r="C183" s="10">
        <v>10.9</v>
      </c>
      <c r="D183" s="10">
        <v>13</v>
      </c>
      <c r="E183" s="13" t="s">
        <v>398</v>
      </c>
      <c r="F183" s="15">
        <v>4500</v>
      </c>
      <c r="G183" s="16">
        <v>0</v>
      </c>
      <c r="H183" s="14">
        <f>IF(A183="G",1,0)*G183</f>
        <v>0</v>
      </c>
      <c r="I183" s="14">
        <f>IF(A183="F",1,0)*G183</f>
        <v>0</v>
      </c>
      <c r="J183" s="17">
        <f>F183/C183</f>
        <v>412.8440366972477</v>
      </c>
      <c r="K183" s="18">
        <f>F183*G183</f>
        <v>0</v>
      </c>
      <c r="L183" s="14">
        <f>G183*C183</f>
        <v>0</v>
      </c>
    </row>
    <row r="184" spans="1:12" ht="16">
      <c r="A184" s="10" t="s">
        <v>3</v>
      </c>
      <c r="B184" s="11" t="s">
        <v>378</v>
      </c>
      <c r="C184" s="10">
        <v>10.6</v>
      </c>
      <c r="D184" s="10">
        <v>14</v>
      </c>
      <c r="E184" s="10" t="s">
        <v>239</v>
      </c>
      <c r="F184" s="15">
        <v>4500</v>
      </c>
      <c r="G184" s="16">
        <v>0</v>
      </c>
      <c r="H184" s="14">
        <f>IF(A184="G",1,0)*G184</f>
        <v>0</v>
      </c>
      <c r="I184" s="14">
        <f>IF(A184="F",1,0)*G184</f>
        <v>0</v>
      </c>
      <c r="J184" s="17">
        <f>F184/C184</f>
        <v>424.52830188679246</v>
      </c>
      <c r="K184" s="18">
        <f>F184*G184</f>
        <v>0</v>
      </c>
      <c r="L184" s="14">
        <f>G184*C184</f>
        <v>0</v>
      </c>
    </row>
    <row r="185" spans="1:12" ht="16">
      <c r="A185" s="10" t="s">
        <v>0</v>
      </c>
      <c r="B185" s="11" t="s">
        <v>372</v>
      </c>
      <c r="C185" s="10">
        <v>10.3</v>
      </c>
      <c r="D185" s="10">
        <v>12</v>
      </c>
      <c r="E185" s="13" t="s">
        <v>391</v>
      </c>
      <c r="F185" s="15">
        <v>4500</v>
      </c>
      <c r="G185" s="16">
        <v>0</v>
      </c>
      <c r="H185" s="14">
        <f>IF(A185="G",1,0)*G185</f>
        <v>0</v>
      </c>
      <c r="I185" s="14">
        <f>IF(A185="F",1,0)*G185</f>
        <v>0</v>
      </c>
      <c r="J185" s="17">
        <f>F185/C185</f>
        <v>436.89320388349512</v>
      </c>
      <c r="K185" s="18">
        <f>F185*G185</f>
        <v>0</v>
      </c>
      <c r="L185" s="14">
        <f>G185*C185</f>
        <v>0</v>
      </c>
    </row>
    <row r="186" spans="1:12" ht="16">
      <c r="A186" s="10" t="s">
        <v>0</v>
      </c>
      <c r="B186" s="11" t="s">
        <v>355</v>
      </c>
      <c r="C186" s="10">
        <v>10.1</v>
      </c>
      <c r="D186" s="10">
        <v>5</v>
      </c>
      <c r="E186" s="13" t="s">
        <v>388</v>
      </c>
      <c r="F186" s="15">
        <v>4500</v>
      </c>
      <c r="G186" s="16">
        <v>0</v>
      </c>
      <c r="H186" s="14">
        <f>IF(A186="G",1,0)*G186</f>
        <v>0</v>
      </c>
      <c r="I186" s="14">
        <f>IF(A186="F",1,0)*G186</f>
        <v>0</v>
      </c>
      <c r="J186" s="17">
        <f>F186/C186</f>
        <v>445.54455445544556</v>
      </c>
      <c r="K186" s="18">
        <f>F186*G186</f>
        <v>0</v>
      </c>
      <c r="L186" s="14">
        <f>G186*C186</f>
        <v>0</v>
      </c>
    </row>
    <row r="187" spans="1:12" ht="16">
      <c r="A187" s="10" t="s">
        <v>3</v>
      </c>
      <c r="B187" s="11" t="s">
        <v>366</v>
      </c>
      <c r="C187" s="10">
        <v>10</v>
      </c>
      <c r="D187" s="10">
        <v>13</v>
      </c>
      <c r="E187" s="10" t="s">
        <v>187</v>
      </c>
      <c r="F187" s="15">
        <v>4500</v>
      </c>
      <c r="G187" s="16">
        <v>0</v>
      </c>
      <c r="H187" s="14">
        <f>IF(A187="G",1,0)*G187</f>
        <v>0</v>
      </c>
      <c r="I187" s="14">
        <f>IF(A187="F",1,0)*G187</f>
        <v>0</v>
      </c>
      <c r="J187" s="17">
        <f>F187/C187</f>
        <v>450</v>
      </c>
      <c r="K187" s="18">
        <f>F187*G187</f>
        <v>0</v>
      </c>
      <c r="L187" s="14">
        <f>G187*C187</f>
        <v>0</v>
      </c>
    </row>
    <row r="188" spans="1:12" ht="16">
      <c r="A188" s="10" t="s">
        <v>0</v>
      </c>
      <c r="B188" s="11" t="s">
        <v>363</v>
      </c>
      <c r="C188" s="10">
        <v>9.9</v>
      </c>
      <c r="D188" s="10">
        <v>15</v>
      </c>
      <c r="E188" s="13" t="s">
        <v>397</v>
      </c>
      <c r="F188" s="15">
        <v>4500</v>
      </c>
      <c r="G188" s="16">
        <v>0</v>
      </c>
      <c r="H188" s="14">
        <f>IF(A188="G",1,0)*G188</f>
        <v>0</v>
      </c>
      <c r="I188" s="14">
        <f>IF(A188="F",1,0)*G188</f>
        <v>0</v>
      </c>
      <c r="J188" s="17">
        <f>F188/C188</f>
        <v>454.5454545454545</v>
      </c>
      <c r="K188" s="18">
        <f>F188*G188</f>
        <v>0</v>
      </c>
      <c r="L188" s="14">
        <f>G188*C188</f>
        <v>0</v>
      </c>
    </row>
    <row r="189" spans="1:12" ht="16">
      <c r="A189" s="10" t="s">
        <v>3</v>
      </c>
      <c r="B189" s="11" t="s">
        <v>364</v>
      </c>
      <c r="C189" s="10">
        <v>9.6999999999999993</v>
      </c>
      <c r="D189" s="10">
        <v>6</v>
      </c>
      <c r="E189" s="13" t="s">
        <v>391</v>
      </c>
      <c r="F189" s="15">
        <v>4500</v>
      </c>
      <c r="G189" s="16">
        <v>0</v>
      </c>
      <c r="H189" s="14">
        <f>IF(A189="G",1,0)*G189</f>
        <v>0</v>
      </c>
      <c r="I189" s="14">
        <f>IF(A189="F",1,0)*G189</f>
        <v>0</v>
      </c>
      <c r="J189" s="17">
        <f>F189/C189</f>
        <v>463.91752577319591</v>
      </c>
      <c r="K189" s="18">
        <f>F189*G189</f>
        <v>0</v>
      </c>
      <c r="L189" s="14">
        <f>G189*C189</f>
        <v>0</v>
      </c>
    </row>
    <row r="190" spans="1:12" ht="16">
      <c r="A190" s="10" t="s">
        <v>3</v>
      </c>
      <c r="B190" s="11" t="s">
        <v>359</v>
      </c>
      <c r="C190" s="10">
        <v>9.6</v>
      </c>
      <c r="D190" s="10">
        <v>15</v>
      </c>
      <c r="E190" s="13" t="s">
        <v>386</v>
      </c>
      <c r="F190" s="15">
        <v>4500</v>
      </c>
      <c r="G190" s="16">
        <v>0</v>
      </c>
      <c r="H190" s="14">
        <f>IF(A190="G",1,0)*G190</f>
        <v>0</v>
      </c>
      <c r="I190" s="14">
        <f>IF(A190="F",1,0)*G190</f>
        <v>0</v>
      </c>
      <c r="J190" s="17">
        <f>F190/C190</f>
        <v>468.75</v>
      </c>
      <c r="K190" s="18">
        <f>F190*G190</f>
        <v>0</v>
      </c>
      <c r="L190" s="14">
        <f>G190*C190</f>
        <v>0</v>
      </c>
    </row>
    <row r="191" spans="1:12" ht="16">
      <c r="A191" s="10" t="s">
        <v>3</v>
      </c>
      <c r="B191" s="11" t="s">
        <v>362</v>
      </c>
      <c r="C191" s="10">
        <v>9.6</v>
      </c>
      <c r="D191" s="10">
        <v>12</v>
      </c>
      <c r="E191" s="13" t="s">
        <v>389</v>
      </c>
      <c r="F191" s="15">
        <v>4500</v>
      </c>
      <c r="G191" s="16">
        <v>0</v>
      </c>
      <c r="H191" s="14">
        <f>IF(A191="G",1,0)*G191</f>
        <v>0</v>
      </c>
      <c r="I191" s="14">
        <f>IF(A191="F",1,0)*G191</f>
        <v>0</v>
      </c>
      <c r="J191" s="17">
        <f>F191/C191</f>
        <v>468.75</v>
      </c>
      <c r="K191" s="18">
        <f>F191*G191</f>
        <v>0</v>
      </c>
      <c r="L191" s="14">
        <f>G191*C191</f>
        <v>0</v>
      </c>
    </row>
    <row r="192" spans="1:12" ht="16">
      <c r="A192" s="10" t="s">
        <v>0</v>
      </c>
      <c r="B192" s="11" t="s">
        <v>350</v>
      </c>
      <c r="C192" s="10">
        <v>9.5</v>
      </c>
      <c r="D192" s="10">
        <v>12</v>
      </c>
      <c r="E192" s="13" t="s">
        <v>390</v>
      </c>
      <c r="F192" s="15">
        <v>4500</v>
      </c>
      <c r="G192" s="16">
        <v>0</v>
      </c>
      <c r="H192" s="14">
        <f>IF(A192="G",1,0)*G192</f>
        <v>0</v>
      </c>
      <c r="I192" s="14">
        <f>IF(A192="F",1,0)*G192</f>
        <v>0</v>
      </c>
      <c r="J192" s="17">
        <f>F192/C192</f>
        <v>473.68421052631578</v>
      </c>
      <c r="K192" s="18">
        <f>F192*G192</f>
        <v>0</v>
      </c>
      <c r="L192" s="14">
        <f>G192*C192</f>
        <v>0</v>
      </c>
    </row>
    <row r="193" spans="1:12" ht="16">
      <c r="A193" s="10" t="s">
        <v>3</v>
      </c>
      <c r="B193" s="11" t="s">
        <v>357</v>
      </c>
      <c r="C193" s="10">
        <v>9.5</v>
      </c>
      <c r="D193" s="10">
        <v>15</v>
      </c>
      <c r="E193" s="13" t="s">
        <v>385</v>
      </c>
      <c r="F193" s="15">
        <v>4500</v>
      </c>
      <c r="G193" s="16">
        <v>0</v>
      </c>
      <c r="H193" s="14">
        <f>IF(A193="G",1,0)*G193</f>
        <v>0</v>
      </c>
      <c r="I193" s="14">
        <f>IF(A193="F",1,0)*G193</f>
        <v>0</v>
      </c>
      <c r="J193" s="17">
        <f>F193/C193</f>
        <v>473.68421052631578</v>
      </c>
      <c r="K193" s="18">
        <f>F193*G193</f>
        <v>0</v>
      </c>
      <c r="L193" s="14">
        <f>G193*C193</f>
        <v>0</v>
      </c>
    </row>
    <row r="194" spans="1:12" ht="16">
      <c r="A194" s="10" t="s">
        <v>0</v>
      </c>
      <c r="B194" s="11" t="s">
        <v>368</v>
      </c>
      <c r="C194" s="10">
        <v>9.4</v>
      </c>
      <c r="D194" s="10">
        <v>14</v>
      </c>
      <c r="E194" s="13" t="s">
        <v>398</v>
      </c>
      <c r="F194" s="15">
        <v>4500</v>
      </c>
      <c r="G194" s="16">
        <v>0</v>
      </c>
      <c r="H194" s="14">
        <f>IF(A194="G",1,0)*G194</f>
        <v>0</v>
      </c>
      <c r="I194" s="14">
        <f>IF(A194="F",1,0)*G194</f>
        <v>0</v>
      </c>
      <c r="J194" s="17">
        <f>F194/C194</f>
        <v>478.72340425531911</v>
      </c>
      <c r="K194" s="18">
        <f>F194*G194</f>
        <v>0</v>
      </c>
      <c r="L194" s="14">
        <f>G194*C194</f>
        <v>0</v>
      </c>
    </row>
    <row r="195" spans="1:12" ht="16">
      <c r="A195" s="10" t="s">
        <v>3</v>
      </c>
      <c r="B195" s="11" t="s">
        <v>383</v>
      </c>
      <c r="C195" s="10">
        <v>9.4</v>
      </c>
      <c r="D195" s="10">
        <v>13</v>
      </c>
      <c r="E195" s="10" t="s">
        <v>204</v>
      </c>
      <c r="F195" s="15">
        <v>4500</v>
      </c>
      <c r="G195" s="16">
        <v>0</v>
      </c>
      <c r="H195" s="14">
        <f>IF(A195="G",1,0)*G195</f>
        <v>0</v>
      </c>
      <c r="I195" s="14">
        <f>IF(A195="F",1,0)*G195</f>
        <v>0</v>
      </c>
      <c r="J195" s="17">
        <f>F195/C195</f>
        <v>478.72340425531911</v>
      </c>
      <c r="K195" s="18">
        <f>F195*G195</f>
        <v>0</v>
      </c>
      <c r="L195" s="14">
        <f>G195*C195</f>
        <v>0</v>
      </c>
    </row>
    <row r="196" spans="1:12" ht="16">
      <c r="A196" s="10" t="s">
        <v>0</v>
      </c>
      <c r="B196" s="11" t="s">
        <v>377</v>
      </c>
      <c r="C196" s="10">
        <v>9.3000000000000007</v>
      </c>
      <c r="D196" s="10">
        <v>11</v>
      </c>
      <c r="E196" s="10" t="s">
        <v>191</v>
      </c>
      <c r="F196" s="15">
        <v>4500</v>
      </c>
      <c r="G196" s="16">
        <v>0</v>
      </c>
      <c r="H196" s="14">
        <f>IF(A196="G",1,0)*G196</f>
        <v>0</v>
      </c>
      <c r="I196" s="14">
        <f>IF(A196="F",1,0)*G196</f>
        <v>0</v>
      </c>
      <c r="J196" s="17">
        <f>F196/C196</f>
        <v>483.87096774193543</v>
      </c>
      <c r="K196" s="18">
        <f>F196*G196</f>
        <v>0</v>
      </c>
      <c r="L196" s="14">
        <f>G196*C196</f>
        <v>0</v>
      </c>
    </row>
    <row r="197" spans="1:12" ht="16">
      <c r="A197" s="10" t="s">
        <v>3</v>
      </c>
      <c r="B197" s="11" t="s">
        <v>379</v>
      </c>
      <c r="C197" s="10">
        <v>9.3000000000000007</v>
      </c>
      <c r="D197" s="10">
        <v>9</v>
      </c>
      <c r="E197" s="10" t="s">
        <v>189</v>
      </c>
      <c r="F197" s="15">
        <v>4500</v>
      </c>
      <c r="G197" s="16">
        <v>0</v>
      </c>
      <c r="H197" s="14">
        <f>IF(A197="G",1,0)*G197</f>
        <v>0</v>
      </c>
      <c r="I197" s="14">
        <f>IF(A197="F",1,0)*G197</f>
        <v>0</v>
      </c>
      <c r="J197" s="17">
        <f>F197/C197</f>
        <v>483.87096774193543</v>
      </c>
      <c r="K197" s="18">
        <f>F197*G197</f>
        <v>0</v>
      </c>
      <c r="L197" s="14">
        <f>G197*C197</f>
        <v>0</v>
      </c>
    </row>
    <row r="199" spans="1:12">
      <c r="D199" s="3"/>
    </row>
    <row r="202" spans="1:12">
      <c r="D202" s="3"/>
    </row>
    <row r="205" spans="1:12">
      <c r="D205" s="3"/>
    </row>
    <row r="208" spans="1:12">
      <c r="D208" s="3"/>
    </row>
    <row r="211" spans="4:4">
      <c r="D211" s="3"/>
    </row>
    <row r="214" spans="4:4">
      <c r="D214" s="3"/>
    </row>
    <row r="217" spans="4:4">
      <c r="D217" s="3"/>
    </row>
    <row r="220" spans="4:4">
      <c r="D220" s="3"/>
    </row>
    <row r="223" spans="4:4">
      <c r="D223" s="3"/>
    </row>
    <row r="226" spans="4:4">
      <c r="D226" s="3"/>
    </row>
    <row r="229" spans="4:4">
      <c r="D229" s="3"/>
    </row>
    <row r="232" spans="4:4">
      <c r="D232" s="3"/>
    </row>
    <row r="235" spans="4:4">
      <c r="D235" s="3"/>
    </row>
    <row r="238" spans="4:4">
      <c r="D238" s="3"/>
    </row>
    <row r="241" spans="4:4">
      <c r="D241" s="3"/>
    </row>
    <row r="244" spans="4:4">
      <c r="D244" s="3"/>
    </row>
    <row r="247" spans="4:4">
      <c r="D247" s="3"/>
    </row>
    <row r="250" spans="4:4">
      <c r="D250" s="3"/>
    </row>
    <row r="253" spans="4:4">
      <c r="D253" s="3"/>
    </row>
    <row r="256" spans="4:4">
      <c r="D256" s="3"/>
    </row>
    <row r="259" spans="4:4">
      <c r="D259" s="3"/>
    </row>
    <row r="262" spans="4:4">
      <c r="D262" s="3"/>
    </row>
    <row r="265" spans="4:4">
      <c r="D265" s="3"/>
    </row>
    <row r="268" spans="4:4">
      <c r="D268" s="3"/>
    </row>
    <row r="271" spans="4:4">
      <c r="D271" s="3"/>
    </row>
    <row r="274" spans="4:4">
      <c r="D274" s="3"/>
    </row>
    <row r="277" spans="4:4">
      <c r="D277" s="3"/>
    </row>
    <row r="280" spans="4:4">
      <c r="D280" s="3"/>
    </row>
    <row r="283" spans="4:4">
      <c r="D283" s="3"/>
    </row>
    <row r="286" spans="4:4">
      <c r="D286" s="3"/>
    </row>
    <row r="289" spans="4:4">
      <c r="D289" s="3"/>
    </row>
    <row r="292" spans="4:4">
      <c r="D292" s="3"/>
    </row>
    <row r="295" spans="4:4">
      <c r="D295" s="3"/>
    </row>
    <row r="298" spans="4:4">
      <c r="D298" s="3"/>
    </row>
    <row r="301" spans="4:4">
      <c r="D301" s="3"/>
    </row>
    <row r="304" spans="4:4">
      <c r="D304" s="3"/>
    </row>
    <row r="307" spans="4:4">
      <c r="D307" s="3"/>
    </row>
    <row r="310" spans="4:4">
      <c r="D310" s="3"/>
    </row>
    <row r="313" spans="4:4">
      <c r="D313" s="3"/>
    </row>
    <row r="316" spans="4:4">
      <c r="D316" s="3"/>
    </row>
    <row r="319" spans="4:4">
      <c r="D319" s="3"/>
    </row>
    <row r="322" spans="4:4">
      <c r="D322" s="3"/>
    </row>
    <row r="325" spans="4:4">
      <c r="D325" s="3"/>
    </row>
    <row r="328" spans="4:4">
      <c r="D328" s="3"/>
    </row>
    <row r="331" spans="4:4">
      <c r="D331" s="3"/>
    </row>
    <row r="334" spans="4:4">
      <c r="D334" s="3"/>
    </row>
    <row r="337" spans="4:4">
      <c r="D337" s="3"/>
    </row>
    <row r="340" spans="4:4">
      <c r="D340" s="3"/>
    </row>
    <row r="343" spans="4:4">
      <c r="D343" s="3"/>
    </row>
    <row r="346" spans="4:4">
      <c r="D346" s="3"/>
    </row>
    <row r="349" spans="4:4">
      <c r="D349" s="3"/>
    </row>
    <row r="352" spans="4:4">
      <c r="D352" s="3"/>
    </row>
    <row r="355" spans="4:4">
      <c r="D355" s="3"/>
    </row>
    <row r="358" spans="4:4">
      <c r="D358" s="3"/>
    </row>
    <row r="361" spans="4:4">
      <c r="D361" s="3"/>
    </row>
    <row r="364" spans="4:4">
      <c r="D364" s="3"/>
    </row>
    <row r="367" spans="4:4">
      <c r="D367" s="3"/>
    </row>
    <row r="370" spans="4:4">
      <c r="D370" s="3"/>
    </row>
    <row r="373" spans="4:4">
      <c r="D373" s="3"/>
    </row>
    <row r="376" spans="4:4">
      <c r="D376" s="3"/>
    </row>
    <row r="379" spans="4:4">
      <c r="D379" s="3"/>
    </row>
    <row r="382" spans="4:4">
      <c r="D382" s="3"/>
    </row>
    <row r="385" spans="4:4">
      <c r="D385" s="3"/>
    </row>
    <row r="388" spans="4:4">
      <c r="D388" s="3"/>
    </row>
    <row r="391" spans="4:4">
      <c r="D391" s="3"/>
    </row>
    <row r="394" spans="4:4">
      <c r="D394" s="3"/>
    </row>
    <row r="397" spans="4:4">
      <c r="D397" s="3"/>
    </row>
    <row r="400" spans="4:4">
      <c r="D400" s="3"/>
    </row>
    <row r="403" spans="4:4">
      <c r="D403" s="3"/>
    </row>
    <row r="406" spans="4:4">
      <c r="D406" s="3"/>
    </row>
    <row r="409" spans="4:4">
      <c r="D409" s="3"/>
    </row>
    <row r="412" spans="4:4">
      <c r="D412" s="3"/>
    </row>
    <row r="415" spans="4:4">
      <c r="D415" s="3"/>
    </row>
    <row r="418" spans="4:4">
      <c r="D418" s="3"/>
    </row>
    <row r="421" spans="4:4">
      <c r="D421" s="3"/>
    </row>
    <row r="424" spans="4:4">
      <c r="D424" s="3"/>
    </row>
    <row r="427" spans="4:4">
      <c r="D427" s="3"/>
    </row>
    <row r="430" spans="4:4">
      <c r="D430" s="3"/>
    </row>
    <row r="433" spans="4:4">
      <c r="D433" s="3"/>
    </row>
    <row r="436" spans="4:4">
      <c r="D436" s="3"/>
    </row>
    <row r="439" spans="4:4">
      <c r="D439" s="3"/>
    </row>
    <row r="442" spans="4:4">
      <c r="D442" s="3"/>
    </row>
    <row r="445" spans="4:4">
      <c r="D445" s="3"/>
    </row>
    <row r="448" spans="4:4">
      <c r="D448" s="3"/>
    </row>
    <row r="451" spans="4:4">
      <c r="D451" s="3"/>
    </row>
    <row r="454" spans="4:4">
      <c r="D454" s="3"/>
    </row>
    <row r="457" spans="4:4">
      <c r="D457" s="3"/>
    </row>
    <row r="460" spans="4:4">
      <c r="D460" s="3"/>
    </row>
    <row r="463" spans="4:4">
      <c r="D463" s="3"/>
    </row>
    <row r="466" spans="4:4">
      <c r="D466" s="3"/>
    </row>
    <row r="469" spans="4:4">
      <c r="D469" s="3"/>
    </row>
    <row r="472" spans="4:4">
      <c r="D472" s="3"/>
    </row>
    <row r="475" spans="4:4">
      <c r="D475" s="3"/>
    </row>
    <row r="478" spans="4:4">
      <c r="D478" s="3"/>
    </row>
    <row r="481" spans="4:4">
      <c r="D481" s="3"/>
    </row>
    <row r="484" spans="4:4">
      <c r="D484" s="3"/>
    </row>
    <row r="487" spans="4:4">
      <c r="D487" s="3"/>
    </row>
    <row r="490" spans="4:4">
      <c r="D490" s="3"/>
    </row>
    <row r="493" spans="4:4">
      <c r="D493" s="3"/>
    </row>
    <row r="496" spans="4:4">
      <c r="D496" s="3"/>
    </row>
    <row r="499" spans="4:4">
      <c r="D499" s="3"/>
    </row>
    <row r="502" spans="4:4">
      <c r="D502" s="3"/>
    </row>
    <row r="505" spans="4:4">
      <c r="D505" s="3"/>
    </row>
    <row r="508" spans="4:4">
      <c r="D508" s="3"/>
    </row>
    <row r="511" spans="4:4">
      <c r="D511" s="3"/>
    </row>
    <row r="514" spans="4:4">
      <c r="D514" s="3"/>
    </row>
    <row r="517" spans="4:4">
      <c r="D517" s="3"/>
    </row>
    <row r="520" spans="4:4">
      <c r="D520" s="3"/>
    </row>
    <row r="523" spans="4:4">
      <c r="D523" s="3"/>
    </row>
    <row r="526" spans="4:4">
      <c r="D526" s="3"/>
    </row>
    <row r="529" spans="4:4">
      <c r="D529" s="3"/>
    </row>
    <row r="532" spans="4:4">
      <c r="D532" s="3"/>
    </row>
    <row r="535" spans="4:4">
      <c r="D535" s="3"/>
    </row>
    <row r="538" spans="4:4">
      <c r="D538" s="3"/>
    </row>
    <row r="541" spans="4:4">
      <c r="D541" s="3"/>
    </row>
    <row r="544" spans="4:4">
      <c r="D544" s="3"/>
    </row>
    <row r="547" spans="4:4">
      <c r="D547" s="3"/>
    </row>
    <row r="550" spans="4:4">
      <c r="D550" s="3"/>
    </row>
    <row r="553" spans="4:4">
      <c r="D553" s="3"/>
    </row>
    <row r="556" spans="4:4">
      <c r="D556" s="3"/>
    </row>
    <row r="559" spans="4:4">
      <c r="D559" s="3"/>
    </row>
    <row r="562" spans="4:4">
      <c r="D562" s="3"/>
    </row>
    <row r="565" spans="4:4">
      <c r="D565" s="3"/>
    </row>
    <row r="568" spans="4:4">
      <c r="D568" s="3"/>
    </row>
    <row r="571" spans="4:4">
      <c r="D571" s="3"/>
    </row>
    <row r="574" spans="4:4">
      <c r="D574" s="3"/>
    </row>
    <row r="577" spans="4:4">
      <c r="D577" s="3"/>
    </row>
    <row r="580" spans="4:4">
      <c r="D580" s="3"/>
    </row>
    <row r="583" spans="4:4">
      <c r="D583" s="3"/>
    </row>
    <row r="586" spans="4:4">
      <c r="D586" s="3"/>
    </row>
    <row r="589" spans="4:4">
      <c r="D589" s="3"/>
    </row>
    <row r="592" spans="4:4">
      <c r="D592" s="3"/>
    </row>
    <row r="595" spans="4:4">
      <c r="D595" s="3"/>
    </row>
    <row r="598" spans="4:4">
      <c r="D598" s="3"/>
    </row>
    <row r="601" spans="4:4">
      <c r="D601" s="3"/>
    </row>
    <row r="604" spans="4:4">
      <c r="D604" s="3"/>
    </row>
    <row r="607" spans="4:4">
      <c r="D607" s="3"/>
    </row>
    <row r="610" spans="4:4">
      <c r="D610" s="3"/>
    </row>
    <row r="613" spans="4:4">
      <c r="D613" s="3"/>
    </row>
    <row r="616" spans="4:4">
      <c r="D616" s="3"/>
    </row>
    <row r="619" spans="4:4">
      <c r="D619" s="3"/>
    </row>
    <row r="622" spans="4:4">
      <c r="D622" s="3"/>
    </row>
    <row r="625" spans="4:4">
      <c r="D625" s="3"/>
    </row>
    <row r="628" spans="4:4">
      <c r="D628" s="3"/>
    </row>
    <row r="631" spans="4:4">
      <c r="D631" s="3"/>
    </row>
    <row r="634" spans="4:4">
      <c r="D634" s="3"/>
    </row>
    <row r="637" spans="4:4">
      <c r="D637" s="3"/>
    </row>
    <row r="640" spans="4:4">
      <c r="D640" s="3"/>
    </row>
    <row r="643" spans="4:4">
      <c r="D643" s="3"/>
    </row>
    <row r="646" spans="4:4">
      <c r="D646" s="3"/>
    </row>
    <row r="649" spans="4:4">
      <c r="D649" s="3"/>
    </row>
    <row r="652" spans="4:4">
      <c r="D652" s="3"/>
    </row>
    <row r="655" spans="4:4">
      <c r="D655" s="3"/>
    </row>
    <row r="658" spans="4:4">
      <c r="D658" s="3"/>
    </row>
    <row r="661" spans="4:4">
      <c r="D661" s="3"/>
    </row>
    <row r="664" spans="4:4">
      <c r="D664" s="3"/>
    </row>
    <row r="667" spans="4:4">
      <c r="D667" s="3"/>
    </row>
    <row r="670" spans="4:4">
      <c r="D670" s="3"/>
    </row>
    <row r="673" spans="4:4">
      <c r="D673" s="3"/>
    </row>
    <row r="676" spans="4:4">
      <c r="D676" s="3"/>
    </row>
    <row r="679" spans="4:4">
      <c r="D679" s="3"/>
    </row>
    <row r="682" spans="4:4">
      <c r="D682" s="3"/>
    </row>
    <row r="685" spans="4:4">
      <c r="D685" s="3"/>
    </row>
    <row r="688" spans="4:4">
      <c r="D688" s="3"/>
    </row>
    <row r="691" spans="4:4">
      <c r="D691" s="3"/>
    </row>
    <row r="694" spans="4:4">
      <c r="D694" s="3"/>
    </row>
    <row r="697" spans="4:4">
      <c r="D697" s="3"/>
    </row>
    <row r="700" spans="4:4">
      <c r="D700" s="3"/>
    </row>
    <row r="703" spans="4:4">
      <c r="D703" s="3"/>
    </row>
    <row r="706" spans="4:4">
      <c r="D706" s="3"/>
    </row>
    <row r="709" spans="4:4">
      <c r="D709" s="3"/>
    </row>
    <row r="712" spans="4:4">
      <c r="D712" s="3"/>
    </row>
    <row r="715" spans="4:4">
      <c r="D715" s="3"/>
    </row>
    <row r="718" spans="4:4">
      <c r="D718" s="3"/>
    </row>
    <row r="721" spans="4:4">
      <c r="D721" s="3"/>
    </row>
    <row r="724" spans="4:4">
      <c r="D724" s="3"/>
    </row>
    <row r="727" spans="4:4">
      <c r="D727" s="3"/>
    </row>
    <row r="730" spans="4:4">
      <c r="D730" s="3"/>
    </row>
    <row r="733" spans="4:4">
      <c r="D733" s="3"/>
    </row>
    <row r="736" spans="4:4">
      <c r="D736" s="3"/>
    </row>
    <row r="739" spans="4:4">
      <c r="D739" s="3"/>
    </row>
    <row r="742" spans="4:4">
      <c r="D742" s="3"/>
    </row>
    <row r="745" spans="4:4">
      <c r="D745" s="3"/>
    </row>
    <row r="748" spans="4:4">
      <c r="D748" s="3"/>
    </row>
    <row r="751" spans="4:4">
      <c r="D751" s="3"/>
    </row>
    <row r="754" spans="4:4">
      <c r="D754" s="3"/>
    </row>
    <row r="757" spans="4:4">
      <c r="D757" s="3"/>
    </row>
    <row r="760" spans="4:4">
      <c r="D760" s="3"/>
    </row>
    <row r="763" spans="4:4">
      <c r="D763" s="3"/>
    </row>
    <row r="766" spans="4:4">
      <c r="D766" s="3"/>
    </row>
    <row r="769" spans="4:4">
      <c r="D769" s="3"/>
    </row>
    <row r="772" spans="4:4">
      <c r="D772" s="3"/>
    </row>
    <row r="775" spans="4:4">
      <c r="D775" s="3"/>
    </row>
    <row r="778" spans="4:4">
      <c r="D778" s="3"/>
    </row>
    <row r="781" spans="4:4">
      <c r="D781" s="3"/>
    </row>
    <row r="784" spans="4:4">
      <c r="D784" s="3"/>
    </row>
    <row r="787" spans="4:4">
      <c r="D787" s="3"/>
    </row>
    <row r="790" spans="4:4">
      <c r="D790" s="3"/>
    </row>
    <row r="793" spans="4:4">
      <c r="D793" s="3"/>
    </row>
    <row r="796" spans="4:4">
      <c r="D796" s="3"/>
    </row>
    <row r="799" spans="4:4">
      <c r="D799" s="3"/>
    </row>
    <row r="802" spans="4:4">
      <c r="D802" s="3"/>
    </row>
    <row r="805" spans="4:4">
      <c r="D805" s="3"/>
    </row>
    <row r="808" spans="4:4">
      <c r="D808" s="3"/>
    </row>
    <row r="811" spans="4:4">
      <c r="D811" s="3"/>
    </row>
    <row r="814" spans="4:4">
      <c r="D814" s="3"/>
    </row>
    <row r="817" spans="4:4">
      <c r="D817" s="3"/>
    </row>
    <row r="820" spans="4:4">
      <c r="D820" s="3"/>
    </row>
    <row r="823" spans="4:4">
      <c r="D823" s="3"/>
    </row>
    <row r="826" spans="4:4">
      <c r="D826" s="3"/>
    </row>
    <row r="829" spans="4:4">
      <c r="D829" s="3"/>
    </row>
    <row r="832" spans="4:4">
      <c r="D832" s="3"/>
    </row>
    <row r="835" spans="4:4">
      <c r="D835" s="3"/>
    </row>
    <row r="838" spans="4:4">
      <c r="D838" s="3"/>
    </row>
    <row r="841" spans="4:4">
      <c r="D841" s="3"/>
    </row>
    <row r="844" spans="4:4">
      <c r="D844" s="3"/>
    </row>
    <row r="847" spans="4:4">
      <c r="D847" s="3"/>
    </row>
    <row r="850" spans="4:4">
      <c r="D850" s="3"/>
    </row>
    <row r="853" spans="4:4">
      <c r="D853" s="3"/>
    </row>
    <row r="856" spans="4:4">
      <c r="D856" s="3"/>
    </row>
    <row r="859" spans="4:4">
      <c r="D859" s="3"/>
    </row>
    <row r="862" spans="4:4">
      <c r="D862" s="3"/>
    </row>
    <row r="865" spans="4:4">
      <c r="D865" s="3"/>
    </row>
    <row r="868" spans="4:4">
      <c r="D868" s="3"/>
    </row>
    <row r="871" spans="4:4">
      <c r="D871" s="3"/>
    </row>
    <row r="874" spans="4:4">
      <c r="D874" s="3"/>
    </row>
    <row r="877" spans="4:4">
      <c r="D877" s="3"/>
    </row>
    <row r="880" spans="4:4">
      <c r="D880" s="3"/>
    </row>
    <row r="883" spans="4:4">
      <c r="D883" s="3"/>
    </row>
    <row r="886" spans="4:4">
      <c r="D886" s="3"/>
    </row>
    <row r="889" spans="4:4">
      <c r="D889" s="3"/>
    </row>
    <row r="892" spans="4:4">
      <c r="D892" s="3"/>
    </row>
    <row r="895" spans="4:4">
      <c r="D895" s="3"/>
    </row>
    <row r="898" spans="4:4">
      <c r="D898" s="3"/>
    </row>
    <row r="901" spans="4:4">
      <c r="D901" s="3"/>
    </row>
    <row r="904" spans="4:4">
      <c r="D904" s="3"/>
    </row>
    <row r="907" spans="4:4">
      <c r="D907" s="3"/>
    </row>
    <row r="910" spans="4:4">
      <c r="D910" s="3"/>
    </row>
    <row r="913" spans="4:4">
      <c r="D913" s="3"/>
    </row>
    <row r="916" spans="4:4">
      <c r="D916" s="3"/>
    </row>
    <row r="919" spans="4:4">
      <c r="D919" s="3"/>
    </row>
    <row r="922" spans="4:4">
      <c r="D922" s="3"/>
    </row>
    <row r="925" spans="4:4">
      <c r="D925" s="3"/>
    </row>
    <row r="928" spans="4:4">
      <c r="D928" s="3"/>
    </row>
    <row r="931" spans="4:4">
      <c r="D931" s="3"/>
    </row>
    <row r="934" spans="4:4">
      <c r="D934" s="3"/>
    </row>
    <row r="937" spans="4:4">
      <c r="D937" s="3"/>
    </row>
    <row r="940" spans="4:4">
      <c r="D940" s="3"/>
    </row>
    <row r="943" spans="4:4">
      <c r="D943" s="3"/>
    </row>
    <row r="946" spans="4:4">
      <c r="D946" s="3"/>
    </row>
    <row r="949" spans="4:4">
      <c r="D949" s="3"/>
    </row>
    <row r="952" spans="4:4">
      <c r="D952" s="3"/>
    </row>
    <row r="955" spans="4:4">
      <c r="D955" s="3"/>
    </row>
    <row r="958" spans="4:4">
      <c r="D958" s="3"/>
    </row>
    <row r="961" spans="4:4">
      <c r="D961" s="3"/>
    </row>
    <row r="964" spans="4:4">
      <c r="D964" s="3"/>
    </row>
    <row r="967" spans="4:4">
      <c r="D967" s="3"/>
    </row>
    <row r="970" spans="4:4">
      <c r="D970" s="3"/>
    </row>
    <row r="973" spans="4:4">
      <c r="D973" s="3"/>
    </row>
  </sheetData>
  <sortState ref="A2:L1165">
    <sortCondition descending="1" ref="G2:G116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"/>
  <sheetViews>
    <sheetView workbookViewId="0">
      <selection activeCell="A2" sqref="A2:L144"/>
    </sheetView>
  </sheetViews>
  <sheetFormatPr baseColWidth="10" defaultRowHeight="15" x14ac:dyDescent="0"/>
  <cols>
    <col min="1" max="1" width="10.83203125" style="5"/>
    <col min="2" max="2" width="25.33203125" style="8" bestFit="1" customWidth="1"/>
    <col min="5" max="5" width="26" customWidth="1"/>
  </cols>
  <sheetData>
    <row r="1" spans="1:16">
      <c r="A1" s="5" t="s">
        <v>157</v>
      </c>
      <c r="B1" s="8" t="s">
        <v>158</v>
      </c>
      <c r="C1" t="s">
        <v>156</v>
      </c>
      <c r="D1" t="s">
        <v>167</v>
      </c>
      <c r="E1" t="s">
        <v>166</v>
      </c>
      <c r="F1" t="s">
        <v>159</v>
      </c>
      <c r="G1" t="s">
        <v>160</v>
      </c>
      <c r="H1" t="s">
        <v>162</v>
      </c>
      <c r="I1" t="s">
        <v>163</v>
      </c>
      <c r="J1" t="s">
        <v>168</v>
      </c>
      <c r="K1" t="s">
        <v>161</v>
      </c>
      <c r="L1" t="s">
        <v>156</v>
      </c>
      <c r="M1" t="s">
        <v>164</v>
      </c>
      <c r="N1" t="s">
        <v>165</v>
      </c>
      <c r="O1" t="s">
        <v>155</v>
      </c>
      <c r="P1" t="s">
        <v>156</v>
      </c>
    </row>
    <row r="2" spans="1:16">
      <c r="A2" s="6" t="s">
        <v>0</v>
      </c>
      <c r="B2" s="9" t="s">
        <v>1</v>
      </c>
      <c r="C2" s="1">
        <v>33.200000000000003</v>
      </c>
      <c r="D2" s="1">
        <v>15</v>
      </c>
      <c r="E2" s="2" t="s">
        <v>2</v>
      </c>
      <c r="F2" s="4">
        <v>8600</v>
      </c>
      <c r="G2">
        <v>1</v>
      </c>
      <c r="H2">
        <f>IF(A2="G",1,0)*G2</f>
        <v>1</v>
      </c>
      <c r="I2">
        <f>IF(A2="F",1,0)*G2</f>
        <v>0</v>
      </c>
      <c r="J2" s="7">
        <f>F2/C2</f>
        <v>259.03614457831321</v>
      </c>
      <c r="K2" s="3">
        <f>F2*G2</f>
        <v>8600</v>
      </c>
      <c r="L2">
        <f>G2*C2</f>
        <v>33.200000000000003</v>
      </c>
      <c r="M2">
        <f>SUM(I2:I144)</f>
        <v>5</v>
      </c>
      <c r="N2">
        <f>SUM(H2:H144)</f>
        <v>4</v>
      </c>
      <c r="O2" s="3">
        <f>SUM(K2:K144)</f>
        <v>60000</v>
      </c>
      <c r="P2">
        <f>SUM(L2:L144)</f>
        <v>221.3</v>
      </c>
    </row>
    <row r="3" spans="1:16">
      <c r="A3" s="6" t="s">
        <v>3</v>
      </c>
      <c r="B3" s="9" t="s">
        <v>4</v>
      </c>
      <c r="C3" s="1">
        <v>31.7</v>
      </c>
      <c r="D3" s="1">
        <v>13</v>
      </c>
      <c r="E3" s="2" t="s">
        <v>5</v>
      </c>
      <c r="F3" s="4">
        <v>8300</v>
      </c>
      <c r="G3">
        <v>1</v>
      </c>
      <c r="H3">
        <f>IF(A3="G",1,0)*G3</f>
        <v>0</v>
      </c>
      <c r="I3">
        <f>IF(A3="F",1,0)*G3</f>
        <v>1</v>
      </c>
      <c r="J3" s="7">
        <f>F3/C3</f>
        <v>261.82965299684543</v>
      </c>
      <c r="K3" s="3">
        <f>F3*G3</f>
        <v>8300</v>
      </c>
      <c r="L3">
        <f>G3*C3</f>
        <v>31.7</v>
      </c>
    </row>
    <row r="4" spans="1:16">
      <c r="A4" s="6" t="s">
        <v>0</v>
      </c>
      <c r="B4" s="9" t="s">
        <v>6</v>
      </c>
      <c r="C4" s="1">
        <v>27.5</v>
      </c>
      <c r="D4" s="1">
        <v>13</v>
      </c>
      <c r="E4" s="2" t="s">
        <v>5</v>
      </c>
      <c r="F4" s="4">
        <v>8100</v>
      </c>
      <c r="G4">
        <v>0</v>
      </c>
      <c r="H4">
        <f>IF(A4="G",1,0)*G4</f>
        <v>0</v>
      </c>
      <c r="I4">
        <f>IF(A4="F",1,0)*G4</f>
        <v>0</v>
      </c>
      <c r="J4" s="7">
        <f>F4/C4</f>
        <v>294.54545454545456</v>
      </c>
      <c r="K4" s="3">
        <f>F4*G4</f>
        <v>0</v>
      </c>
      <c r="L4">
        <f>G4*C4</f>
        <v>0</v>
      </c>
    </row>
    <row r="5" spans="1:16">
      <c r="A5" s="6" t="s">
        <v>3</v>
      </c>
      <c r="B5" s="9" t="s">
        <v>9</v>
      </c>
      <c r="C5" s="1">
        <v>29.9</v>
      </c>
      <c r="D5" s="1">
        <v>14</v>
      </c>
      <c r="E5" s="1" t="s">
        <v>10</v>
      </c>
      <c r="F5" s="4">
        <v>8000</v>
      </c>
      <c r="G5">
        <v>1</v>
      </c>
      <c r="H5">
        <f>IF(A5="G",1,0)*G5</f>
        <v>0</v>
      </c>
      <c r="I5">
        <f>IF(A5="F",1,0)*G5</f>
        <v>1</v>
      </c>
      <c r="J5" s="7">
        <f>F5/C5</f>
        <v>267.55852842809367</v>
      </c>
      <c r="K5" s="3">
        <f>F5*G5</f>
        <v>8000</v>
      </c>
      <c r="L5">
        <f>G5*C5</f>
        <v>29.9</v>
      </c>
    </row>
    <row r="6" spans="1:16">
      <c r="A6" s="6" t="s">
        <v>0</v>
      </c>
      <c r="B6" s="9" t="s">
        <v>7</v>
      </c>
      <c r="C6" s="1">
        <v>27.8</v>
      </c>
      <c r="D6" s="1">
        <v>14</v>
      </c>
      <c r="E6" s="1" t="s">
        <v>8</v>
      </c>
      <c r="F6" s="4">
        <v>8000</v>
      </c>
      <c r="G6">
        <v>0</v>
      </c>
      <c r="H6">
        <f>IF(A6="G",1,0)*G6</f>
        <v>0</v>
      </c>
      <c r="I6">
        <f>IF(A6="F",1,0)*G6</f>
        <v>0</v>
      </c>
      <c r="J6" s="7">
        <f>F6/C6</f>
        <v>287.76978417266184</v>
      </c>
      <c r="K6" s="3">
        <f>F6*G6</f>
        <v>0</v>
      </c>
      <c r="L6">
        <f>G6*C6</f>
        <v>0</v>
      </c>
    </row>
    <row r="7" spans="1:16">
      <c r="A7" s="6" t="s">
        <v>3</v>
      </c>
      <c r="B7" s="9" t="s">
        <v>11</v>
      </c>
      <c r="C7" s="1">
        <v>28.9</v>
      </c>
      <c r="D7" s="1">
        <v>14</v>
      </c>
      <c r="E7" s="1" t="s">
        <v>12</v>
      </c>
      <c r="F7" s="4">
        <v>7900</v>
      </c>
      <c r="G7">
        <v>0</v>
      </c>
      <c r="H7">
        <f>IF(A7="G",1,0)*G7</f>
        <v>0</v>
      </c>
      <c r="I7">
        <f>IF(A7="F",1,0)*G7</f>
        <v>0</v>
      </c>
      <c r="J7" s="7">
        <f>F7/C7</f>
        <v>273.35640138408309</v>
      </c>
      <c r="K7" s="3">
        <f>F7*G7</f>
        <v>0</v>
      </c>
      <c r="L7">
        <f>G7*C7</f>
        <v>0</v>
      </c>
    </row>
    <row r="8" spans="1:16">
      <c r="A8" s="6" t="s">
        <v>0</v>
      </c>
      <c r="B8" s="9" t="s">
        <v>13</v>
      </c>
      <c r="C8" s="1">
        <v>27.1</v>
      </c>
      <c r="D8" s="1">
        <v>13</v>
      </c>
      <c r="E8" s="2" t="s">
        <v>14</v>
      </c>
      <c r="F8" s="4">
        <v>7800</v>
      </c>
      <c r="G8">
        <v>0</v>
      </c>
      <c r="H8">
        <f>IF(A8="G",1,0)*G8</f>
        <v>0</v>
      </c>
      <c r="I8">
        <f>IF(A8="F",1,0)*G8</f>
        <v>0</v>
      </c>
      <c r="J8" s="7">
        <f>F8/C8</f>
        <v>287.82287822878226</v>
      </c>
      <c r="K8" s="3">
        <f>F8*G8</f>
        <v>0</v>
      </c>
      <c r="L8">
        <f>G8*C8</f>
        <v>0</v>
      </c>
    </row>
    <row r="9" spans="1:16">
      <c r="A9" s="6" t="s">
        <v>0</v>
      </c>
      <c r="B9" s="9" t="s">
        <v>16</v>
      </c>
      <c r="C9" s="1">
        <v>27.4</v>
      </c>
      <c r="D9" s="1">
        <v>13</v>
      </c>
      <c r="E9" s="2" t="s">
        <v>17</v>
      </c>
      <c r="F9" s="4">
        <v>7700</v>
      </c>
      <c r="G9">
        <v>0</v>
      </c>
      <c r="H9">
        <f>IF(A9="G",1,0)*G9</f>
        <v>0</v>
      </c>
      <c r="I9">
        <f>IF(A9="F",1,0)*G9</f>
        <v>0</v>
      </c>
      <c r="J9" s="7">
        <f>F9/C9</f>
        <v>281.021897810219</v>
      </c>
      <c r="K9" s="3">
        <f>F9*G9</f>
        <v>0</v>
      </c>
      <c r="L9">
        <f>G9*C9</f>
        <v>0</v>
      </c>
    </row>
    <row r="10" spans="1:16">
      <c r="A10" s="6" t="s">
        <v>3</v>
      </c>
      <c r="B10" s="9" t="s">
        <v>18</v>
      </c>
      <c r="C10" s="1">
        <v>26.6</v>
      </c>
      <c r="D10" s="1">
        <v>11</v>
      </c>
      <c r="E10" s="1" t="s">
        <v>8</v>
      </c>
      <c r="F10" s="4">
        <v>7700</v>
      </c>
      <c r="G10">
        <v>0</v>
      </c>
      <c r="H10">
        <f>IF(A10="G",1,0)*G10</f>
        <v>0</v>
      </c>
      <c r="I10">
        <f>IF(A10="F",1,0)*G10</f>
        <v>0</v>
      </c>
      <c r="J10" s="7">
        <f>F10/C10</f>
        <v>289.4736842105263</v>
      </c>
      <c r="K10" s="3">
        <f>F10*G10</f>
        <v>0</v>
      </c>
      <c r="L10">
        <f>G10*C10</f>
        <v>0</v>
      </c>
    </row>
    <row r="11" spans="1:16">
      <c r="A11" s="6" t="s">
        <v>3</v>
      </c>
      <c r="B11" s="9" t="s">
        <v>15</v>
      </c>
      <c r="C11" s="1">
        <v>26.4</v>
      </c>
      <c r="D11" s="1">
        <v>14</v>
      </c>
      <c r="E11" s="1" t="s">
        <v>10</v>
      </c>
      <c r="F11" s="4">
        <v>7700</v>
      </c>
      <c r="G11">
        <v>0</v>
      </c>
      <c r="H11">
        <f>IF(A11="G",1,0)*G11</f>
        <v>0</v>
      </c>
      <c r="I11">
        <f>IF(A11="F",1,0)*G11</f>
        <v>0</v>
      </c>
      <c r="J11" s="7">
        <f>F11/C11</f>
        <v>291.66666666666669</v>
      </c>
      <c r="K11" s="3">
        <f>F11*G11</f>
        <v>0</v>
      </c>
      <c r="L11">
        <f>G11*C11</f>
        <v>0</v>
      </c>
    </row>
    <row r="12" spans="1:16">
      <c r="A12" s="6" t="s">
        <v>3</v>
      </c>
      <c r="B12" s="9" t="s">
        <v>20</v>
      </c>
      <c r="C12" s="1">
        <v>26.5</v>
      </c>
      <c r="D12" s="1">
        <v>14</v>
      </c>
      <c r="E12" s="1" t="s">
        <v>21</v>
      </c>
      <c r="F12" s="4">
        <v>7600</v>
      </c>
      <c r="G12">
        <v>0</v>
      </c>
      <c r="H12">
        <f>IF(A12="G",1,0)*G12</f>
        <v>0</v>
      </c>
      <c r="I12">
        <f>IF(A12="F",1,0)*G12</f>
        <v>0</v>
      </c>
      <c r="J12" s="7">
        <f>F12/C12</f>
        <v>286.79245283018867</v>
      </c>
      <c r="K12" s="3">
        <f>F12*G12</f>
        <v>0</v>
      </c>
      <c r="L12">
        <f>G12*C12</f>
        <v>0</v>
      </c>
    </row>
    <row r="13" spans="1:16">
      <c r="A13" s="6" t="s">
        <v>0</v>
      </c>
      <c r="B13" s="9" t="s">
        <v>19</v>
      </c>
      <c r="C13" s="1">
        <v>24.9</v>
      </c>
      <c r="D13" s="1">
        <v>13</v>
      </c>
      <c r="E13" s="2" t="s">
        <v>14</v>
      </c>
      <c r="F13" s="4">
        <v>7600</v>
      </c>
      <c r="G13">
        <v>0</v>
      </c>
      <c r="H13">
        <f>IF(A13="G",1,0)*G13</f>
        <v>0</v>
      </c>
      <c r="I13">
        <f>IF(A13="F",1,0)*G13</f>
        <v>0</v>
      </c>
      <c r="J13" s="7">
        <f>F13/C13</f>
        <v>305.22088353413659</v>
      </c>
      <c r="K13" s="3">
        <f>F13*G13</f>
        <v>0</v>
      </c>
      <c r="L13">
        <f>G13*C13</f>
        <v>0</v>
      </c>
    </row>
    <row r="14" spans="1:16">
      <c r="A14" s="6" t="s">
        <v>0</v>
      </c>
      <c r="B14" s="9" t="s">
        <v>23</v>
      </c>
      <c r="C14" s="1">
        <v>27.7</v>
      </c>
      <c r="D14" s="1">
        <v>14</v>
      </c>
      <c r="E14" s="2" t="s">
        <v>24</v>
      </c>
      <c r="F14" s="4">
        <v>7500</v>
      </c>
      <c r="G14">
        <v>1</v>
      </c>
      <c r="H14">
        <f>IF(A14="G",1,0)*G14</f>
        <v>1</v>
      </c>
      <c r="I14">
        <f>IF(A14="F",1,0)*G14</f>
        <v>0</v>
      </c>
      <c r="J14" s="7">
        <f>F14/C14</f>
        <v>270.75812274368229</v>
      </c>
      <c r="K14" s="3">
        <f>F14*G14</f>
        <v>7500</v>
      </c>
      <c r="L14">
        <f>G14*C14</f>
        <v>27.7</v>
      </c>
    </row>
    <row r="15" spans="1:16">
      <c r="A15" s="6" t="s">
        <v>0</v>
      </c>
      <c r="B15" s="9" t="s">
        <v>22</v>
      </c>
      <c r="C15" s="1">
        <v>26.8</v>
      </c>
      <c r="D15" s="1">
        <v>14</v>
      </c>
      <c r="E15" s="1" t="s">
        <v>8</v>
      </c>
      <c r="F15" s="4">
        <v>7500</v>
      </c>
      <c r="G15">
        <v>0</v>
      </c>
      <c r="H15">
        <f>IF(A15="G",1,0)*G15</f>
        <v>0</v>
      </c>
      <c r="I15">
        <f>IF(A15="F",1,0)*G15</f>
        <v>0</v>
      </c>
      <c r="J15" s="7">
        <f>F15/C15</f>
        <v>279.85074626865674</v>
      </c>
      <c r="K15" s="3">
        <f>F15*G15</f>
        <v>0</v>
      </c>
      <c r="L15">
        <f>G15*C15</f>
        <v>0</v>
      </c>
    </row>
    <row r="16" spans="1:16">
      <c r="A16" s="6" t="s">
        <v>0</v>
      </c>
      <c r="B16" s="9" t="s">
        <v>25</v>
      </c>
      <c r="C16" s="1">
        <v>28.1</v>
      </c>
      <c r="D16" s="1">
        <v>15</v>
      </c>
      <c r="E16" s="2" t="s">
        <v>2</v>
      </c>
      <c r="F16" s="4">
        <v>7400</v>
      </c>
      <c r="G16">
        <v>1</v>
      </c>
      <c r="H16">
        <f>IF(A16="G",1,0)*G16</f>
        <v>1</v>
      </c>
      <c r="I16">
        <f>IF(A16="F",1,0)*G16</f>
        <v>0</v>
      </c>
      <c r="J16" s="7">
        <f>F16/C16</f>
        <v>263.34519572953735</v>
      </c>
      <c r="K16" s="3">
        <f>F16*G16</f>
        <v>7400</v>
      </c>
      <c r="L16">
        <f>G16*C16</f>
        <v>28.1</v>
      </c>
    </row>
    <row r="17" spans="1:12">
      <c r="A17" s="6" t="s">
        <v>3</v>
      </c>
      <c r="B17" s="9" t="s">
        <v>26</v>
      </c>
      <c r="C17" s="1">
        <v>25.3</v>
      </c>
      <c r="D17" s="1">
        <v>15</v>
      </c>
      <c r="E17" s="2" t="s">
        <v>2</v>
      </c>
      <c r="F17" s="4">
        <v>7300</v>
      </c>
      <c r="G17">
        <v>0</v>
      </c>
      <c r="H17">
        <f>IF(A17="G",1,0)*G17</f>
        <v>0</v>
      </c>
      <c r="I17">
        <f>IF(A17="F",1,0)*G17</f>
        <v>0</v>
      </c>
      <c r="J17" s="7">
        <f>F17/C17</f>
        <v>288.53754940711462</v>
      </c>
      <c r="K17" s="3">
        <f>F17*G17</f>
        <v>0</v>
      </c>
      <c r="L17">
        <f>G17*C17</f>
        <v>0</v>
      </c>
    </row>
    <row r="18" spans="1:12">
      <c r="A18" s="6" t="s">
        <v>0</v>
      </c>
      <c r="B18" s="9" t="s">
        <v>27</v>
      </c>
      <c r="C18" s="1">
        <v>25.3</v>
      </c>
      <c r="D18" s="1">
        <v>14</v>
      </c>
      <c r="E18" s="2" t="s">
        <v>24</v>
      </c>
      <c r="F18" s="4">
        <v>7300</v>
      </c>
      <c r="G18">
        <v>0</v>
      </c>
      <c r="H18">
        <f>IF(A18="G",1,0)*G18</f>
        <v>0</v>
      </c>
      <c r="I18">
        <f>IF(A18="F",1,0)*G18</f>
        <v>0</v>
      </c>
      <c r="J18" s="7">
        <f>F18/C18</f>
        <v>288.53754940711462</v>
      </c>
      <c r="K18" s="3">
        <f>F18*G18</f>
        <v>0</v>
      </c>
      <c r="L18">
        <f>G18*C18</f>
        <v>0</v>
      </c>
    </row>
    <row r="19" spans="1:12">
      <c r="A19" s="6" t="s">
        <v>3</v>
      </c>
      <c r="B19" s="9" t="s">
        <v>28</v>
      </c>
      <c r="C19" s="1">
        <v>23.5</v>
      </c>
      <c r="D19" s="1">
        <v>14</v>
      </c>
      <c r="E19" s="1" t="s">
        <v>21</v>
      </c>
      <c r="F19" s="4">
        <v>7200</v>
      </c>
      <c r="G19">
        <v>0</v>
      </c>
      <c r="H19">
        <f>IF(A19="G",1,0)*G19</f>
        <v>0</v>
      </c>
      <c r="I19">
        <f>IF(A19="F",1,0)*G19</f>
        <v>0</v>
      </c>
      <c r="J19" s="7">
        <f>F19/C19</f>
        <v>306.38297872340428</v>
      </c>
      <c r="K19" s="3">
        <f>F19*G19</f>
        <v>0</v>
      </c>
      <c r="L19">
        <f>G19*C19</f>
        <v>0</v>
      </c>
    </row>
    <row r="20" spans="1:12">
      <c r="A20" s="6" t="s">
        <v>0</v>
      </c>
      <c r="B20" s="9" t="s">
        <v>29</v>
      </c>
      <c r="C20" s="1">
        <v>22.1</v>
      </c>
      <c r="D20" s="1">
        <v>14</v>
      </c>
      <c r="E20" s="1" t="s">
        <v>12</v>
      </c>
      <c r="F20" s="4">
        <v>7200</v>
      </c>
      <c r="G20">
        <v>0</v>
      </c>
      <c r="H20">
        <f>IF(A20="G",1,0)*G20</f>
        <v>0</v>
      </c>
      <c r="I20">
        <f>IF(A20="F",1,0)*G20</f>
        <v>0</v>
      </c>
      <c r="J20" s="7">
        <f>F20/C20</f>
        <v>325.79185520361989</v>
      </c>
      <c r="K20" s="3">
        <f>F20*G20</f>
        <v>0</v>
      </c>
      <c r="L20">
        <f>G20*C20</f>
        <v>0</v>
      </c>
    </row>
    <row r="21" spans="1:12">
      <c r="A21" s="6" t="s">
        <v>3</v>
      </c>
      <c r="B21" s="9" t="s">
        <v>30</v>
      </c>
      <c r="C21" s="1">
        <v>21.5</v>
      </c>
      <c r="D21" s="1">
        <v>13</v>
      </c>
      <c r="E21" s="2" t="s">
        <v>14</v>
      </c>
      <c r="F21" s="4">
        <v>7200</v>
      </c>
      <c r="G21">
        <v>0</v>
      </c>
      <c r="H21">
        <f>IF(A21="G",1,0)*G21</f>
        <v>0</v>
      </c>
      <c r="I21">
        <f>IF(A21="F",1,0)*G21</f>
        <v>0</v>
      </c>
      <c r="J21" s="7">
        <f>F21/C21</f>
        <v>334.88372093023258</v>
      </c>
      <c r="K21" s="3">
        <f>F21*G21</f>
        <v>0</v>
      </c>
      <c r="L21">
        <f>G21*C21</f>
        <v>0</v>
      </c>
    </row>
    <row r="22" spans="1:12">
      <c r="A22" s="6" t="s">
        <v>0</v>
      </c>
      <c r="B22" s="9" t="s">
        <v>31</v>
      </c>
      <c r="C22" s="1">
        <v>26</v>
      </c>
      <c r="D22" s="1">
        <v>15</v>
      </c>
      <c r="E22" s="2" t="s">
        <v>2</v>
      </c>
      <c r="F22" s="4">
        <v>7100</v>
      </c>
      <c r="G22">
        <v>0</v>
      </c>
      <c r="H22">
        <f>IF(A22="G",1,0)*G22</f>
        <v>0</v>
      </c>
      <c r="I22">
        <f>IF(A22="F",1,0)*G22</f>
        <v>0</v>
      </c>
      <c r="J22" s="7">
        <f>F22/C22</f>
        <v>273.07692307692309</v>
      </c>
      <c r="K22" s="3">
        <f>F22*G22</f>
        <v>0</v>
      </c>
      <c r="L22">
        <f>G22*C22</f>
        <v>0</v>
      </c>
    </row>
    <row r="23" spans="1:12">
      <c r="A23" s="6" t="s">
        <v>3</v>
      </c>
      <c r="B23" s="9" t="s">
        <v>32</v>
      </c>
      <c r="C23" s="1">
        <v>25.4</v>
      </c>
      <c r="D23" s="1">
        <v>14</v>
      </c>
      <c r="E23" s="2" t="s">
        <v>17</v>
      </c>
      <c r="F23" s="4">
        <v>7000</v>
      </c>
      <c r="G23">
        <v>0</v>
      </c>
      <c r="H23">
        <f>IF(A23="G",1,0)*G23</f>
        <v>0</v>
      </c>
      <c r="I23">
        <f>IF(A23="F",1,0)*G23</f>
        <v>0</v>
      </c>
      <c r="J23" s="7">
        <f>F23/C23</f>
        <v>275.5905511811024</v>
      </c>
      <c r="K23" s="3">
        <f>F23*G23</f>
        <v>0</v>
      </c>
      <c r="L23">
        <f>G23*C23</f>
        <v>0</v>
      </c>
    </row>
    <row r="24" spans="1:12">
      <c r="A24" s="6" t="s">
        <v>3</v>
      </c>
      <c r="B24" s="9" t="s">
        <v>35</v>
      </c>
      <c r="C24" s="1">
        <v>24.8</v>
      </c>
      <c r="D24" s="1">
        <v>12</v>
      </c>
      <c r="E24" s="2" t="s">
        <v>24</v>
      </c>
      <c r="F24" s="4">
        <v>6900</v>
      </c>
      <c r="G24">
        <v>0</v>
      </c>
      <c r="H24">
        <f>IF(A24="G",1,0)*G24</f>
        <v>0</v>
      </c>
      <c r="I24">
        <f>IF(A24="F",1,0)*G24</f>
        <v>0</v>
      </c>
      <c r="J24" s="7">
        <f>F24/C24</f>
        <v>278.22580645161287</v>
      </c>
      <c r="K24" s="3">
        <f>F24*G24</f>
        <v>0</v>
      </c>
      <c r="L24">
        <f>G24*C24</f>
        <v>0</v>
      </c>
    </row>
    <row r="25" spans="1:12">
      <c r="A25" s="6" t="s">
        <v>3</v>
      </c>
      <c r="B25" s="9" t="s">
        <v>34</v>
      </c>
      <c r="C25" s="1">
        <v>23.3</v>
      </c>
      <c r="D25" s="1">
        <v>14</v>
      </c>
      <c r="E25" s="1" t="s">
        <v>12</v>
      </c>
      <c r="F25" s="4">
        <v>6900</v>
      </c>
      <c r="G25">
        <v>0</v>
      </c>
      <c r="H25">
        <f>IF(A25="G",1,0)*G25</f>
        <v>0</v>
      </c>
      <c r="I25">
        <f>IF(A25="F",1,0)*G25</f>
        <v>0</v>
      </c>
      <c r="J25" s="7">
        <f>F25/C25</f>
        <v>296.13733905579397</v>
      </c>
      <c r="K25" s="3">
        <f>F25*G25</f>
        <v>0</v>
      </c>
      <c r="L25">
        <f>G25*C25</f>
        <v>0</v>
      </c>
    </row>
    <row r="26" spans="1:12">
      <c r="A26" s="6" t="s">
        <v>3</v>
      </c>
      <c r="B26" s="9" t="s">
        <v>33</v>
      </c>
      <c r="C26" s="1">
        <v>23.1</v>
      </c>
      <c r="D26" s="1">
        <v>13</v>
      </c>
      <c r="E26" s="2" t="s">
        <v>14</v>
      </c>
      <c r="F26" s="4">
        <v>6900</v>
      </c>
      <c r="G26">
        <v>0</v>
      </c>
      <c r="H26">
        <f>IF(A26="G",1,0)*G26</f>
        <v>0</v>
      </c>
      <c r="I26">
        <f>IF(A26="F",1,0)*G26</f>
        <v>0</v>
      </c>
      <c r="J26" s="7">
        <f>F26/C26</f>
        <v>298.7012987012987</v>
      </c>
      <c r="K26" s="3">
        <f>F26*G26</f>
        <v>0</v>
      </c>
      <c r="L26">
        <f>G26*C26</f>
        <v>0</v>
      </c>
    </row>
    <row r="27" spans="1:12">
      <c r="A27" s="6" t="s">
        <v>3</v>
      </c>
      <c r="B27" s="9" t="s">
        <v>36</v>
      </c>
      <c r="C27" s="1">
        <v>22</v>
      </c>
      <c r="D27" s="1">
        <v>14</v>
      </c>
      <c r="E27" s="1" t="s">
        <v>12</v>
      </c>
      <c r="F27" s="4">
        <v>6200</v>
      </c>
      <c r="G27">
        <v>0</v>
      </c>
      <c r="H27">
        <f>IF(A27="G",1,0)*G27</f>
        <v>0</v>
      </c>
      <c r="I27">
        <f>IF(A27="F",1,0)*G27</f>
        <v>0</v>
      </c>
      <c r="J27" s="7">
        <f>F27/C27</f>
        <v>281.81818181818181</v>
      </c>
      <c r="K27" s="3">
        <f>F27*G27</f>
        <v>0</v>
      </c>
      <c r="L27">
        <f>G27*C27</f>
        <v>0</v>
      </c>
    </row>
    <row r="28" spans="1:12">
      <c r="A28" s="6" t="s">
        <v>3</v>
      </c>
      <c r="B28" s="9" t="s">
        <v>37</v>
      </c>
      <c r="C28" s="1">
        <v>21.3</v>
      </c>
      <c r="D28" s="1">
        <v>14</v>
      </c>
      <c r="E28" s="2" t="s">
        <v>17</v>
      </c>
      <c r="F28" s="4">
        <v>6000</v>
      </c>
      <c r="G28">
        <v>0</v>
      </c>
      <c r="H28">
        <f>IF(A28="G",1,0)*G28</f>
        <v>0</v>
      </c>
      <c r="I28">
        <f>IF(A28="F",1,0)*G28</f>
        <v>0</v>
      </c>
      <c r="J28" s="7">
        <f>F28/C28</f>
        <v>281.6901408450704</v>
      </c>
      <c r="K28" s="3">
        <f>F28*G28</f>
        <v>0</v>
      </c>
      <c r="L28">
        <f>G28*C28</f>
        <v>0</v>
      </c>
    </row>
    <row r="29" spans="1:12">
      <c r="A29" s="6" t="s">
        <v>0</v>
      </c>
      <c r="B29" s="9" t="s">
        <v>39</v>
      </c>
      <c r="C29" s="1">
        <v>20.8</v>
      </c>
      <c r="D29" s="1">
        <v>13</v>
      </c>
      <c r="E29" s="2" t="s">
        <v>14</v>
      </c>
      <c r="F29" s="4">
        <v>5800</v>
      </c>
      <c r="G29">
        <v>1</v>
      </c>
      <c r="H29">
        <f>IF(A29="G",1,0)*G29</f>
        <v>1</v>
      </c>
      <c r="I29">
        <f>IF(A29="F",1,0)*G29</f>
        <v>0</v>
      </c>
      <c r="J29" s="7">
        <f>F29/C29</f>
        <v>278.84615384615381</v>
      </c>
      <c r="K29" s="3">
        <f>F29*G29</f>
        <v>5800</v>
      </c>
      <c r="L29">
        <f>G29*C29</f>
        <v>20.8</v>
      </c>
    </row>
    <row r="30" spans="1:12">
      <c r="A30" s="6" t="s">
        <v>3</v>
      </c>
      <c r="B30" s="9" t="s">
        <v>38</v>
      </c>
      <c r="C30" s="1">
        <v>18.100000000000001</v>
      </c>
      <c r="D30" s="1">
        <v>14</v>
      </c>
      <c r="E30" s="2" t="s">
        <v>24</v>
      </c>
      <c r="F30" s="4">
        <v>5800</v>
      </c>
      <c r="G30">
        <v>0</v>
      </c>
      <c r="H30">
        <f>IF(A30="G",1,0)*G30</f>
        <v>0</v>
      </c>
      <c r="I30">
        <f>IF(A30="F",1,0)*G30</f>
        <v>0</v>
      </c>
      <c r="J30" s="7">
        <f>F30/C30</f>
        <v>320.4419889502762</v>
      </c>
      <c r="K30" s="3">
        <f>F30*G30</f>
        <v>0</v>
      </c>
      <c r="L30">
        <f>G30*C30</f>
        <v>0</v>
      </c>
    </row>
    <row r="31" spans="1:12">
      <c r="A31" s="6" t="s">
        <v>3</v>
      </c>
      <c r="B31" s="9" t="s">
        <v>42</v>
      </c>
      <c r="C31" s="1">
        <v>18.399999999999999</v>
      </c>
      <c r="D31" s="1">
        <v>14</v>
      </c>
      <c r="E31" s="1" t="s">
        <v>12</v>
      </c>
      <c r="F31" s="4">
        <v>5700</v>
      </c>
      <c r="G31">
        <v>0</v>
      </c>
      <c r="H31">
        <f>IF(A31="G",1,0)*G31</f>
        <v>0</v>
      </c>
      <c r="I31">
        <f>IF(A31="F",1,0)*G31</f>
        <v>0</v>
      </c>
      <c r="J31" s="7">
        <f>F31/C31</f>
        <v>309.78260869565219</v>
      </c>
      <c r="K31" s="3">
        <f>F31*G31</f>
        <v>0</v>
      </c>
      <c r="L31">
        <f>G31*C31</f>
        <v>0</v>
      </c>
    </row>
    <row r="32" spans="1:12">
      <c r="A32" s="6" t="s">
        <v>3</v>
      </c>
      <c r="B32" s="9" t="s">
        <v>40</v>
      </c>
      <c r="C32" s="1">
        <v>15.1</v>
      </c>
      <c r="D32" s="1">
        <v>14</v>
      </c>
      <c r="E32" s="1" t="s">
        <v>41</v>
      </c>
      <c r="F32" s="4">
        <v>5700</v>
      </c>
      <c r="G32">
        <v>0</v>
      </c>
      <c r="H32">
        <f>IF(A32="G",1,0)*G32</f>
        <v>0</v>
      </c>
      <c r="I32">
        <f>IF(A32="F",1,0)*G32</f>
        <v>0</v>
      </c>
      <c r="J32" s="7">
        <f>F32/C32</f>
        <v>377.48344370860929</v>
      </c>
      <c r="K32" s="3">
        <f>F32*G32</f>
        <v>0</v>
      </c>
      <c r="L32">
        <f>G32*C32</f>
        <v>0</v>
      </c>
    </row>
    <row r="33" spans="1:12">
      <c r="A33" s="6" t="s">
        <v>0</v>
      </c>
      <c r="B33" s="9" t="s">
        <v>44</v>
      </c>
      <c r="C33" s="1">
        <v>17.600000000000001</v>
      </c>
      <c r="D33" s="1">
        <v>15</v>
      </c>
      <c r="E33" s="2" t="s">
        <v>2</v>
      </c>
      <c r="F33" s="4">
        <v>5600</v>
      </c>
      <c r="G33">
        <v>0</v>
      </c>
      <c r="H33">
        <f>IF(A33="G",1,0)*G33</f>
        <v>0</v>
      </c>
      <c r="I33">
        <f>IF(A33="F",1,0)*G33</f>
        <v>0</v>
      </c>
      <c r="J33" s="7">
        <f>F33/C33</f>
        <v>318.18181818181813</v>
      </c>
      <c r="K33" s="3">
        <f>F33*G33</f>
        <v>0</v>
      </c>
      <c r="L33">
        <f>G33*C33</f>
        <v>0</v>
      </c>
    </row>
    <row r="34" spans="1:12">
      <c r="A34" s="6" t="s">
        <v>0</v>
      </c>
      <c r="B34" s="9" t="s">
        <v>43</v>
      </c>
      <c r="C34" s="1">
        <v>16.8</v>
      </c>
      <c r="D34" s="1">
        <v>14</v>
      </c>
      <c r="E34" s="2" t="s">
        <v>17</v>
      </c>
      <c r="F34" s="4">
        <v>5600</v>
      </c>
      <c r="G34">
        <v>0</v>
      </c>
      <c r="H34">
        <f>IF(A34="G",1,0)*G34</f>
        <v>0</v>
      </c>
      <c r="I34">
        <f>IF(A34="F",1,0)*G34</f>
        <v>0</v>
      </c>
      <c r="J34" s="7">
        <f>F34/C34</f>
        <v>333.33333333333331</v>
      </c>
      <c r="K34" s="3">
        <f>F34*G34</f>
        <v>0</v>
      </c>
      <c r="L34">
        <f>G34*C34</f>
        <v>0</v>
      </c>
    </row>
    <row r="35" spans="1:12">
      <c r="A35" s="6" t="s">
        <v>3</v>
      </c>
      <c r="B35" s="9" t="s">
        <v>45</v>
      </c>
      <c r="C35" s="1">
        <v>15.7</v>
      </c>
      <c r="D35" s="1">
        <v>14</v>
      </c>
      <c r="E35" s="1" t="s">
        <v>21</v>
      </c>
      <c r="F35" s="4">
        <v>5600</v>
      </c>
      <c r="G35">
        <v>0</v>
      </c>
      <c r="H35">
        <f>IF(A35="G",1,0)*G35</f>
        <v>0</v>
      </c>
      <c r="I35">
        <f>IF(A35="F",1,0)*G35</f>
        <v>0</v>
      </c>
      <c r="J35" s="7">
        <f>F35/C35</f>
        <v>356.68789808917199</v>
      </c>
      <c r="K35" s="3">
        <f>F35*G35</f>
        <v>0</v>
      </c>
      <c r="L35">
        <f>G35*C35</f>
        <v>0</v>
      </c>
    </row>
    <row r="36" spans="1:12">
      <c r="A36" s="6" t="s">
        <v>0</v>
      </c>
      <c r="B36" s="9" t="s">
        <v>46</v>
      </c>
      <c r="C36" s="1">
        <v>18.899999999999999</v>
      </c>
      <c r="D36" s="1">
        <v>14</v>
      </c>
      <c r="E36" s="1" t="s">
        <v>41</v>
      </c>
      <c r="F36" s="4">
        <v>5500</v>
      </c>
      <c r="G36">
        <v>0</v>
      </c>
      <c r="H36">
        <f>IF(A36="G",1,0)*G36</f>
        <v>0</v>
      </c>
      <c r="I36">
        <f>IF(A36="F",1,0)*G36</f>
        <v>0</v>
      </c>
      <c r="J36" s="7">
        <f>F36/C36</f>
        <v>291.00529100529104</v>
      </c>
      <c r="K36" s="3">
        <f>F36*G36</f>
        <v>0</v>
      </c>
      <c r="L36">
        <f>G36*C36</f>
        <v>0</v>
      </c>
    </row>
    <row r="37" spans="1:12">
      <c r="A37" s="6" t="s">
        <v>0</v>
      </c>
      <c r="B37" s="9" t="s">
        <v>48</v>
      </c>
      <c r="C37" s="1">
        <v>18.5</v>
      </c>
      <c r="D37" s="1">
        <v>14</v>
      </c>
      <c r="E37" s="2" t="s">
        <v>24</v>
      </c>
      <c r="F37" s="4">
        <v>5500</v>
      </c>
      <c r="G37">
        <v>0</v>
      </c>
      <c r="H37">
        <f>IF(A37="G",1,0)*G37</f>
        <v>0</v>
      </c>
      <c r="I37">
        <f>IF(A37="F",1,0)*G37</f>
        <v>0</v>
      </c>
      <c r="J37" s="7">
        <f>F37/C37</f>
        <v>297.29729729729729</v>
      </c>
      <c r="K37" s="3">
        <f>F37*G37</f>
        <v>0</v>
      </c>
      <c r="L37">
        <f>G37*C37</f>
        <v>0</v>
      </c>
    </row>
    <row r="38" spans="1:12">
      <c r="A38" s="6" t="s">
        <v>0</v>
      </c>
      <c r="B38" s="9" t="s">
        <v>47</v>
      </c>
      <c r="C38" s="1">
        <v>15</v>
      </c>
      <c r="D38" s="1">
        <v>13</v>
      </c>
      <c r="E38" s="1" t="s">
        <v>21</v>
      </c>
      <c r="F38" s="4">
        <v>5500</v>
      </c>
      <c r="G38">
        <v>0</v>
      </c>
      <c r="H38">
        <f>IF(A38="G",1,0)*G38</f>
        <v>0</v>
      </c>
      <c r="I38">
        <f>IF(A38="F",1,0)*G38</f>
        <v>0</v>
      </c>
      <c r="J38" s="7">
        <f>F38/C38</f>
        <v>366.66666666666669</v>
      </c>
      <c r="K38" s="3">
        <f>F38*G38</f>
        <v>0</v>
      </c>
      <c r="L38">
        <f>G38*C38</f>
        <v>0</v>
      </c>
    </row>
    <row r="39" spans="1:12">
      <c r="A39" s="6" t="s">
        <v>3</v>
      </c>
      <c r="B39" s="9" t="s">
        <v>53</v>
      </c>
      <c r="C39" s="1">
        <v>20</v>
      </c>
      <c r="D39" s="1">
        <v>14</v>
      </c>
      <c r="E39" s="1" t="s">
        <v>10</v>
      </c>
      <c r="F39" s="4">
        <v>5400</v>
      </c>
      <c r="G39">
        <v>1</v>
      </c>
      <c r="H39">
        <f>IF(A39="G",1,0)*G39</f>
        <v>0</v>
      </c>
      <c r="I39">
        <f>IF(A39="F",1,0)*G39</f>
        <v>1</v>
      </c>
      <c r="J39" s="7">
        <f>F39/C39</f>
        <v>270</v>
      </c>
      <c r="K39" s="3">
        <f>F39*G39</f>
        <v>5400</v>
      </c>
      <c r="L39">
        <f>G39*C39</f>
        <v>20</v>
      </c>
    </row>
    <row r="40" spans="1:12">
      <c r="A40" s="6" t="s">
        <v>3</v>
      </c>
      <c r="B40" s="9" t="s">
        <v>49</v>
      </c>
      <c r="C40" s="1">
        <v>18.3</v>
      </c>
      <c r="D40" s="1">
        <v>14</v>
      </c>
      <c r="E40" s="1" t="s">
        <v>8</v>
      </c>
      <c r="F40" s="4">
        <v>5400</v>
      </c>
      <c r="G40">
        <v>0</v>
      </c>
      <c r="H40">
        <f>IF(A40="G",1,0)*G40</f>
        <v>0</v>
      </c>
      <c r="I40">
        <f>IF(A40="F",1,0)*G40</f>
        <v>0</v>
      </c>
      <c r="J40" s="7">
        <f>F40/C40</f>
        <v>295.08196721311475</v>
      </c>
      <c r="K40" s="3">
        <f>F40*G40</f>
        <v>0</v>
      </c>
      <c r="L40">
        <f>G40*C40</f>
        <v>0</v>
      </c>
    </row>
    <row r="41" spans="1:12">
      <c r="A41" s="6" t="s">
        <v>3</v>
      </c>
      <c r="B41" s="9" t="s">
        <v>50</v>
      </c>
      <c r="C41" s="1">
        <v>16.600000000000001</v>
      </c>
      <c r="D41" s="1">
        <v>14</v>
      </c>
      <c r="E41" s="1" t="s">
        <v>21</v>
      </c>
      <c r="F41" s="4">
        <v>5400</v>
      </c>
      <c r="G41">
        <v>0</v>
      </c>
      <c r="H41">
        <f>IF(A41="G",1,0)*G41</f>
        <v>0</v>
      </c>
      <c r="I41">
        <f>IF(A41="F",1,0)*G41</f>
        <v>0</v>
      </c>
      <c r="J41" s="7">
        <f>F41/C41</f>
        <v>325.30120481927707</v>
      </c>
      <c r="K41" s="3">
        <f>F41*G41</f>
        <v>0</v>
      </c>
      <c r="L41">
        <f>G41*C41</f>
        <v>0</v>
      </c>
    </row>
    <row r="42" spans="1:12">
      <c r="A42" s="6" t="s">
        <v>0</v>
      </c>
      <c r="B42" s="9" t="s">
        <v>52</v>
      </c>
      <c r="C42" s="1">
        <v>16.2</v>
      </c>
      <c r="D42" s="1">
        <v>14</v>
      </c>
      <c r="E42" s="1" t="s">
        <v>41</v>
      </c>
      <c r="F42" s="4">
        <v>5400</v>
      </c>
      <c r="G42">
        <v>0</v>
      </c>
      <c r="H42">
        <f>IF(A42="G",1,0)*G42</f>
        <v>0</v>
      </c>
      <c r="I42">
        <f>IF(A42="F",1,0)*G42</f>
        <v>0</v>
      </c>
      <c r="J42" s="7">
        <f>F42/C42</f>
        <v>333.33333333333337</v>
      </c>
      <c r="K42" s="3">
        <f>F42*G42</f>
        <v>0</v>
      </c>
      <c r="L42">
        <f>G42*C42</f>
        <v>0</v>
      </c>
    </row>
    <row r="43" spans="1:12">
      <c r="A43" s="6" t="s">
        <v>3</v>
      </c>
      <c r="B43" s="9" t="s">
        <v>51</v>
      </c>
      <c r="C43" s="1">
        <v>15.2</v>
      </c>
      <c r="D43" s="1">
        <v>13</v>
      </c>
      <c r="E43" s="2" t="s">
        <v>5</v>
      </c>
      <c r="F43" s="4">
        <v>5400</v>
      </c>
      <c r="G43">
        <v>0</v>
      </c>
      <c r="H43">
        <f>IF(A43="G",1,0)*G43</f>
        <v>0</v>
      </c>
      <c r="I43">
        <f>IF(A43="F",1,0)*G43</f>
        <v>0</v>
      </c>
      <c r="J43" s="7">
        <f>F43/C43</f>
        <v>355.26315789473688</v>
      </c>
      <c r="K43" s="3">
        <f>F43*G43</f>
        <v>0</v>
      </c>
      <c r="L43">
        <f>G43*C43</f>
        <v>0</v>
      </c>
    </row>
    <row r="44" spans="1:12">
      <c r="A44" s="6" t="s">
        <v>3</v>
      </c>
      <c r="B44" s="9" t="s">
        <v>55</v>
      </c>
      <c r="C44" s="1">
        <v>15.1</v>
      </c>
      <c r="D44" s="1">
        <v>14</v>
      </c>
      <c r="E44" s="1" t="s">
        <v>10</v>
      </c>
      <c r="F44" s="4">
        <v>5300</v>
      </c>
      <c r="G44">
        <v>0</v>
      </c>
      <c r="H44">
        <f>IF(A44="G",1,0)*G44</f>
        <v>0</v>
      </c>
      <c r="I44">
        <f>IF(A44="F",1,0)*G44</f>
        <v>0</v>
      </c>
      <c r="J44" s="7">
        <f>F44/C44</f>
        <v>350.99337748344374</v>
      </c>
      <c r="K44" s="3">
        <f>F44*G44</f>
        <v>0</v>
      </c>
      <c r="L44">
        <f>G44*C44</f>
        <v>0</v>
      </c>
    </row>
    <row r="45" spans="1:12">
      <c r="A45" s="6" t="s">
        <v>0</v>
      </c>
      <c r="B45" s="9" t="s">
        <v>54</v>
      </c>
      <c r="C45" s="1">
        <v>14.4</v>
      </c>
      <c r="D45" s="1">
        <v>14</v>
      </c>
      <c r="E45" s="1" t="s">
        <v>8</v>
      </c>
      <c r="F45" s="4">
        <v>5300</v>
      </c>
      <c r="G45">
        <v>0</v>
      </c>
      <c r="H45">
        <f>IF(A45="G",1,0)*G45</f>
        <v>0</v>
      </c>
      <c r="I45">
        <f>IF(A45="F",1,0)*G45</f>
        <v>0</v>
      </c>
      <c r="J45" s="7">
        <f>F45/C45</f>
        <v>368.05555555555554</v>
      </c>
      <c r="K45" s="3">
        <f>F45*G45</f>
        <v>0</v>
      </c>
      <c r="L45">
        <f>G45*C45</f>
        <v>0</v>
      </c>
    </row>
    <row r="46" spans="1:12">
      <c r="A46" s="6" t="s">
        <v>0</v>
      </c>
      <c r="B46" s="9" t="s">
        <v>57</v>
      </c>
      <c r="C46" s="1">
        <v>15.6</v>
      </c>
      <c r="D46" s="1">
        <v>14</v>
      </c>
      <c r="E46" s="1" t="s">
        <v>10</v>
      </c>
      <c r="F46" s="4">
        <v>5200</v>
      </c>
      <c r="G46">
        <v>0</v>
      </c>
      <c r="H46">
        <f>IF(A46="G",1,0)*G46</f>
        <v>0</v>
      </c>
      <c r="I46">
        <f>IF(A46="F",1,0)*G46</f>
        <v>0</v>
      </c>
      <c r="J46" s="7">
        <f>F46/C46</f>
        <v>333.33333333333331</v>
      </c>
      <c r="K46" s="3">
        <f>F46*G46</f>
        <v>0</v>
      </c>
      <c r="L46">
        <f>G46*C46</f>
        <v>0</v>
      </c>
    </row>
    <row r="47" spans="1:12">
      <c r="A47" s="6" t="s">
        <v>0</v>
      </c>
      <c r="B47" s="9" t="s">
        <v>56</v>
      </c>
      <c r="C47" s="1">
        <v>15.5</v>
      </c>
      <c r="D47" s="1">
        <v>14</v>
      </c>
      <c r="E47" s="1" t="s">
        <v>21</v>
      </c>
      <c r="F47" s="4">
        <v>5200</v>
      </c>
      <c r="G47">
        <v>0</v>
      </c>
      <c r="H47">
        <f>IF(A47="G",1,0)*G47</f>
        <v>0</v>
      </c>
      <c r="I47">
        <f>IF(A47="F",1,0)*G47</f>
        <v>0</v>
      </c>
      <c r="J47" s="7">
        <f>F47/C47</f>
        <v>335.48387096774195</v>
      </c>
      <c r="K47" s="3">
        <f>F47*G47</f>
        <v>0</v>
      </c>
      <c r="L47">
        <f>G47*C47</f>
        <v>0</v>
      </c>
    </row>
    <row r="48" spans="1:12">
      <c r="A48" s="6" t="s">
        <v>3</v>
      </c>
      <c r="B48" s="9" t="s">
        <v>59</v>
      </c>
      <c r="C48" s="1">
        <v>14.7</v>
      </c>
      <c r="D48" s="1">
        <v>14</v>
      </c>
      <c r="E48" s="1" t="s">
        <v>8</v>
      </c>
      <c r="F48" s="4">
        <v>5000</v>
      </c>
      <c r="G48">
        <v>0</v>
      </c>
      <c r="H48">
        <f>IF(A48="G",1,0)*G48</f>
        <v>0</v>
      </c>
      <c r="I48">
        <f>IF(A48="F",1,0)*G48</f>
        <v>0</v>
      </c>
      <c r="J48" s="7">
        <f>F48/C48</f>
        <v>340.13605442176873</v>
      </c>
      <c r="K48" s="3">
        <f>F48*G48</f>
        <v>0</v>
      </c>
      <c r="L48">
        <f>G48*C48</f>
        <v>0</v>
      </c>
    </row>
    <row r="49" spans="1:12">
      <c r="A49" s="6" t="s">
        <v>0</v>
      </c>
      <c r="B49" s="9" t="s">
        <v>61</v>
      </c>
      <c r="C49" s="1">
        <v>14.6</v>
      </c>
      <c r="D49" s="1">
        <v>14</v>
      </c>
      <c r="E49" s="1" t="s">
        <v>41</v>
      </c>
      <c r="F49" s="4">
        <v>5000</v>
      </c>
      <c r="G49">
        <v>0</v>
      </c>
      <c r="H49">
        <f>IF(A49="G",1,0)*G49</f>
        <v>0</v>
      </c>
      <c r="I49">
        <f>IF(A49="F",1,0)*G49</f>
        <v>0</v>
      </c>
      <c r="J49" s="7">
        <f>F49/C49</f>
        <v>342.46575342465752</v>
      </c>
      <c r="K49" s="3">
        <f>F49*G49</f>
        <v>0</v>
      </c>
      <c r="L49">
        <f>G49*C49</f>
        <v>0</v>
      </c>
    </row>
    <row r="50" spans="1:12">
      <c r="A50" s="6" t="s">
        <v>0</v>
      </c>
      <c r="B50" s="9" t="s">
        <v>60</v>
      </c>
      <c r="C50" s="1">
        <v>13.5</v>
      </c>
      <c r="D50" s="1">
        <v>14</v>
      </c>
      <c r="E50" s="2" t="s">
        <v>17</v>
      </c>
      <c r="F50" s="4">
        <v>5000</v>
      </c>
      <c r="G50">
        <v>0</v>
      </c>
      <c r="H50">
        <f>IF(A50="G",1,0)*G50</f>
        <v>0</v>
      </c>
      <c r="I50">
        <f>IF(A50="F",1,0)*G50</f>
        <v>0</v>
      </c>
      <c r="J50" s="7">
        <f>F50/C50</f>
        <v>370.37037037037038</v>
      </c>
      <c r="K50" s="3">
        <f>F50*G50</f>
        <v>0</v>
      </c>
      <c r="L50">
        <f>G50*C50</f>
        <v>0</v>
      </c>
    </row>
    <row r="51" spans="1:12">
      <c r="A51" s="6" t="s">
        <v>0</v>
      </c>
      <c r="B51" s="9" t="s">
        <v>58</v>
      </c>
      <c r="C51" s="1">
        <v>11.3</v>
      </c>
      <c r="D51" s="1">
        <v>14</v>
      </c>
      <c r="E51" s="2" t="s">
        <v>17</v>
      </c>
      <c r="F51" s="4">
        <v>5000</v>
      </c>
      <c r="G51">
        <v>0</v>
      </c>
      <c r="H51">
        <f>IF(A51="G",1,0)*G51</f>
        <v>0</v>
      </c>
      <c r="I51">
        <f>IF(A51="F",1,0)*G51</f>
        <v>0</v>
      </c>
      <c r="J51" s="7">
        <f>F51/C51</f>
        <v>442.47787610619469</v>
      </c>
      <c r="K51" s="3">
        <f>F51*G51</f>
        <v>0</v>
      </c>
      <c r="L51">
        <f>G51*C51</f>
        <v>0</v>
      </c>
    </row>
    <row r="52" spans="1:12">
      <c r="A52" s="6" t="s">
        <v>0</v>
      </c>
      <c r="B52" s="9" t="s">
        <v>63</v>
      </c>
      <c r="C52" s="1">
        <v>14.4</v>
      </c>
      <c r="D52" s="1">
        <v>13</v>
      </c>
      <c r="E52" s="2" t="s">
        <v>5</v>
      </c>
      <c r="F52" s="4">
        <v>4900</v>
      </c>
      <c r="G52">
        <v>0</v>
      </c>
      <c r="H52">
        <f>IF(A52="G",1,0)*G52</f>
        <v>0</v>
      </c>
      <c r="I52">
        <f>IF(A52="F",1,0)*G52</f>
        <v>0</v>
      </c>
      <c r="J52" s="7">
        <f>F52/C52</f>
        <v>340.27777777777777</v>
      </c>
      <c r="K52" s="3">
        <f>F52*G52</f>
        <v>0</v>
      </c>
      <c r="L52">
        <f>G52*C52</f>
        <v>0</v>
      </c>
    </row>
    <row r="53" spans="1:12">
      <c r="A53" s="6" t="s">
        <v>0</v>
      </c>
      <c r="B53" s="9" t="s">
        <v>62</v>
      </c>
      <c r="C53" s="1">
        <v>12.8</v>
      </c>
      <c r="D53" s="1">
        <v>14</v>
      </c>
      <c r="E53" s="2" t="s">
        <v>17</v>
      </c>
      <c r="F53" s="4">
        <v>4900</v>
      </c>
      <c r="G53">
        <v>0</v>
      </c>
      <c r="H53">
        <f>IF(A53="G",1,0)*G53</f>
        <v>0</v>
      </c>
      <c r="I53">
        <f>IF(A53="F",1,0)*G53</f>
        <v>0</v>
      </c>
      <c r="J53" s="7">
        <f>F53/C53</f>
        <v>382.8125</v>
      </c>
      <c r="K53" s="3">
        <f>F53*G53</f>
        <v>0</v>
      </c>
      <c r="L53">
        <f>G53*C53</f>
        <v>0</v>
      </c>
    </row>
    <row r="54" spans="1:12">
      <c r="A54" s="6" t="s">
        <v>0</v>
      </c>
      <c r="B54" s="9" t="s">
        <v>64</v>
      </c>
      <c r="C54" s="1">
        <v>13.2</v>
      </c>
      <c r="D54" s="1">
        <v>14</v>
      </c>
      <c r="E54" s="1" t="s">
        <v>21</v>
      </c>
      <c r="F54" s="4">
        <v>4800</v>
      </c>
      <c r="G54">
        <v>0</v>
      </c>
      <c r="H54">
        <f>IF(A54="G",1,0)*G54</f>
        <v>0</v>
      </c>
      <c r="I54">
        <f>IF(A54="F",1,0)*G54</f>
        <v>0</v>
      </c>
      <c r="J54" s="7">
        <f>F54/C54</f>
        <v>363.63636363636368</v>
      </c>
      <c r="K54" s="3">
        <f>F54*G54</f>
        <v>0</v>
      </c>
      <c r="L54">
        <f>G54*C54</f>
        <v>0</v>
      </c>
    </row>
    <row r="55" spans="1:12">
      <c r="A55" s="6" t="s">
        <v>0</v>
      </c>
      <c r="B55" s="9" t="s">
        <v>66</v>
      </c>
      <c r="C55" s="1">
        <v>11.8</v>
      </c>
      <c r="D55" s="1">
        <v>14</v>
      </c>
      <c r="E55" s="1" t="s">
        <v>10</v>
      </c>
      <c r="F55" s="4">
        <v>4800</v>
      </c>
      <c r="G55">
        <v>0</v>
      </c>
      <c r="H55">
        <f>IF(A55="G",1,0)*G55</f>
        <v>0</v>
      </c>
      <c r="I55">
        <f>IF(A55="F",1,0)*G55</f>
        <v>0</v>
      </c>
      <c r="J55" s="7">
        <f>F55/C55</f>
        <v>406.77966101694915</v>
      </c>
      <c r="K55" s="3">
        <f>F55*G55</f>
        <v>0</v>
      </c>
      <c r="L55">
        <f>G55*C55</f>
        <v>0</v>
      </c>
    </row>
    <row r="56" spans="1:12">
      <c r="A56" s="6" t="s">
        <v>3</v>
      </c>
      <c r="B56" s="9" t="s">
        <v>65</v>
      </c>
      <c r="C56" s="1">
        <v>10.3</v>
      </c>
      <c r="D56" s="1">
        <v>14</v>
      </c>
      <c r="E56" s="1" t="s">
        <v>41</v>
      </c>
      <c r="F56" s="4">
        <v>4800</v>
      </c>
      <c r="G56">
        <v>0</v>
      </c>
      <c r="H56">
        <f>IF(A56="G",1,0)*G56</f>
        <v>0</v>
      </c>
      <c r="I56">
        <f>IF(A56="F",1,0)*G56</f>
        <v>0</v>
      </c>
      <c r="J56" s="7">
        <f>F56/C56</f>
        <v>466.01941747572812</v>
      </c>
      <c r="K56" s="3">
        <f>F56*G56</f>
        <v>0</v>
      </c>
      <c r="L56">
        <f>G56*C56</f>
        <v>0</v>
      </c>
    </row>
    <row r="57" spans="1:12">
      <c r="A57" s="6" t="s">
        <v>0</v>
      </c>
      <c r="B57" s="9" t="s">
        <v>67</v>
      </c>
      <c r="C57" s="1">
        <v>15.1</v>
      </c>
      <c r="D57" s="1">
        <v>13</v>
      </c>
      <c r="E57" s="2" t="s">
        <v>5</v>
      </c>
      <c r="F57" s="4">
        <v>4700</v>
      </c>
      <c r="G57">
        <v>0</v>
      </c>
      <c r="H57">
        <f>IF(A57="G",1,0)*G57</f>
        <v>0</v>
      </c>
      <c r="I57">
        <f>IF(A57="F",1,0)*G57</f>
        <v>0</v>
      </c>
      <c r="J57" s="7">
        <f>F57/C57</f>
        <v>311.25827814569539</v>
      </c>
      <c r="K57" s="3">
        <f>F57*G57</f>
        <v>0</v>
      </c>
      <c r="L57">
        <f>G57*C57</f>
        <v>0</v>
      </c>
    </row>
    <row r="58" spans="1:12">
      <c r="A58" s="6" t="s">
        <v>0</v>
      </c>
      <c r="B58" s="9" t="s">
        <v>70</v>
      </c>
      <c r="C58" s="1">
        <v>10.5</v>
      </c>
      <c r="D58" s="1">
        <v>14</v>
      </c>
      <c r="E58" s="1" t="s">
        <v>10</v>
      </c>
      <c r="F58" s="4">
        <v>4700</v>
      </c>
      <c r="G58">
        <v>0</v>
      </c>
      <c r="H58">
        <f>IF(A58="G",1,0)*G58</f>
        <v>0</v>
      </c>
      <c r="I58">
        <f>IF(A58="F",1,0)*G58</f>
        <v>0</v>
      </c>
      <c r="J58" s="7">
        <f>F58/C58</f>
        <v>447.61904761904759</v>
      </c>
      <c r="K58" s="3">
        <f>F58*G58</f>
        <v>0</v>
      </c>
      <c r="L58">
        <f>G58*C58</f>
        <v>0</v>
      </c>
    </row>
    <row r="59" spans="1:12">
      <c r="A59" s="6" t="s">
        <v>0</v>
      </c>
      <c r="B59" s="9" t="s">
        <v>69</v>
      </c>
      <c r="C59" s="1">
        <v>10.1</v>
      </c>
      <c r="D59" s="1">
        <v>14</v>
      </c>
      <c r="E59" s="1" t="s">
        <v>41</v>
      </c>
      <c r="F59" s="4">
        <v>4700</v>
      </c>
      <c r="G59">
        <v>0</v>
      </c>
      <c r="H59">
        <f>IF(A59="G",1,0)*G59</f>
        <v>0</v>
      </c>
      <c r="I59">
        <f>IF(A59="F",1,0)*G59</f>
        <v>0</v>
      </c>
      <c r="J59" s="7">
        <f>F59/C59</f>
        <v>465.34653465346537</v>
      </c>
      <c r="K59" s="3">
        <f>F59*G59</f>
        <v>0</v>
      </c>
      <c r="L59">
        <f>G59*C59</f>
        <v>0</v>
      </c>
    </row>
    <row r="60" spans="1:12">
      <c r="A60" s="6" t="s">
        <v>0</v>
      </c>
      <c r="B60" s="9" t="s">
        <v>68</v>
      </c>
      <c r="C60" s="1">
        <v>9.1</v>
      </c>
      <c r="D60" s="1">
        <v>13</v>
      </c>
      <c r="E60" s="2" t="s">
        <v>5</v>
      </c>
      <c r="F60" s="4">
        <v>4700</v>
      </c>
      <c r="G60">
        <v>0</v>
      </c>
      <c r="H60">
        <f>IF(A60="G",1,0)*G60</f>
        <v>0</v>
      </c>
      <c r="I60">
        <f>IF(A60="F",1,0)*G60</f>
        <v>0</v>
      </c>
      <c r="J60" s="7">
        <f>F60/C60</f>
        <v>516.4835164835165</v>
      </c>
      <c r="K60" s="3">
        <f>F60*G60</f>
        <v>0</v>
      </c>
      <c r="L60">
        <f>G60*C60</f>
        <v>0</v>
      </c>
    </row>
    <row r="61" spans="1:12">
      <c r="A61" s="6" t="s">
        <v>0</v>
      </c>
      <c r="B61" s="9" t="s">
        <v>71</v>
      </c>
      <c r="C61" s="1">
        <v>11.4</v>
      </c>
      <c r="D61" s="1">
        <v>14</v>
      </c>
      <c r="E61" s="1" t="s">
        <v>12</v>
      </c>
      <c r="F61" s="4">
        <v>4600</v>
      </c>
      <c r="G61">
        <v>0</v>
      </c>
      <c r="H61">
        <f>IF(A61="G",1,0)*G61</f>
        <v>0</v>
      </c>
      <c r="I61">
        <f>IF(A61="F",1,0)*G61</f>
        <v>0</v>
      </c>
      <c r="J61" s="7">
        <f>F61/C61</f>
        <v>403.50877192982455</v>
      </c>
      <c r="K61" s="3">
        <f>F61*G61</f>
        <v>0</v>
      </c>
      <c r="L61">
        <f>G61*C61</f>
        <v>0</v>
      </c>
    </row>
    <row r="62" spans="1:12">
      <c r="A62" s="6" t="s">
        <v>3</v>
      </c>
      <c r="B62" s="9" t="s">
        <v>72</v>
      </c>
      <c r="C62" s="1">
        <v>10.199999999999999</v>
      </c>
      <c r="D62" s="1">
        <v>10</v>
      </c>
      <c r="E62" s="2" t="s">
        <v>2</v>
      </c>
      <c r="F62" s="4">
        <v>4600</v>
      </c>
      <c r="G62">
        <v>0</v>
      </c>
      <c r="H62">
        <f>IF(A62="G",1,0)*G62</f>
        <v>0</v>
      </c>
      <c r="I62">
        <f>IF(A62="F",1,0)*G62</f>
        <v>0</v>
      </c>
      <c r="J62" s="7">
        <f>F62/C62</f>
        <v>450.98039215686276</v>
      </c>
      <c r="K62" s="3">
        <f>F62*G62</f>
        <v>0</v>
      </c>
      <c r="L62">
        <f>G62*C62</f>
        <v>0</v>
      </c>
    </row>
    <row r="63" spans="1:12">
      <c r="A63" s="6" t="s">
        <v>3</v>
      </c>
      <c r="B63" s="9" t="s">
        <v>94</v>
      </c>
      <c r="C63" s="1">
        <v>16.2</v>
      </c>
      <c r="D63" s="1">
        <v>13</v>
      </c>
      <c r="E63" s="1" t="s">
        <v>41</v>
      </c>
      <c r="F63" s="4">
        <v>4500</v>
      </c>
      <c r="G63">
        <v>1</v>
      </c>
      <c r="H63">
        <f>IF(A63="G",1,0)*G63</f>
        <v>0</v>
      </c>
      <c r="I63">
        <f>IF(A63="F",1,0)*G63</f>
        <v>1</v>
      </c>
      <c r="J63" s="7">
        <f>F63/C63</f>
        <v>277.77777777777777</v>
      </c>
      <c r="K63" s="3">
        <f>F63*G63</f>
        <v>4500</v>
      </c>
      <c r="L63">
        <f>G63*C63</f>
        <v>16.2</v>
      </c>
    </row>
    <row r="64" spans="1:12">
      <c r="A64" s="6" t="s">
        <v>3</v>
      </c>
      <c r="B64" s="9" t="s">
        <v>99</v>
      </c>
      <c r="C64" s="1">
        <v>13.7</v>
      </c>
      <c r="D64" s="1">
        <v>14</v>
      </c>
      <c r="E64" s="1" t="s">
        <v>41</v>
      </c>
      <c r="F64" s="4">
        <v>4500</v>
      </c>
      <c r="G64">
        <v>1</v>
      </c>
      <c r="H64">
        <f>IF(A64="G",1,0)*G64</f>
        <v>0</v>
      </c>
      <c r="I64">
        <f>IF(A64="F",1,0)*G64</f>
        <v>1</v>
      </c>
      <c r="J64" s="7">
        <f>F64/C64</f>
        <v>328.46715328467155</v>
      </c>
      <c r="K64" s="3">
        <f>F64*G64</f>
        <v>4500</v>
      </c>
      <c r="L64">
        <f>G64*C64</f>
        <v>13.7</v>
      </c>
    </row>
    <row r="65" spans="1:12">
      <c r="A65" s="6" t="s">
        <v>3</v>
      </c>
      <c r="B65" s="9" t="s">
        <v>108</v>
      </c>
      <c r="C65" s="1">
        <v>13.4</v>
      </c>
      <c r="D65" s="1">
        <v>32</v>
      </c>
      <c r="E65" s="2" t="s">
        <v>5</v>
      </c>
      <c r="F65" s="4">
        <v>4500</v>
      </c>
      <c r="G65">
        <v>0</v>
      </c>
      <c r="H65">
        <f>IF(A65="G",1,0)*G65</f>
        <v>0</v>
      </c>
      <c r="I65">
        <f>IF(A65="F",1,0)*G65</f>
        <v>0</v>
      </c>
      <c r="J65" s="7">
        <f>F65/C65</f>
        <v>335.82089552238807</v>
      </c>
      <c r="K65" s="3">
        <f>F65*G65</f>
        <v>0</v>
      </c>
      <c r="L65">
        <f>G65*C65</f>
        <v>0</v>
      </c>
    </row>
    <row r="66" spans="1:12">
      <c r="A66" s="6" t="s">
        <v>0</v>
      </c>
      <c r="B66" s="9" t="s">
        <v>118</v>
      </c>
      <c r="C66" s="1">
        <v>12.8</v>
      </c>
      <c r="D66" s="1">
        <v>14</v>
      </c>
      <c r="E66" s="1" t="s">
        <v>41</v>
      </c>
      <c r="F66" s="4">
        <v>4500</v>
      </c>
      <c r="G66">
        <v>0</v>
      </c>
      <c r="H66">
        <f>IF(A66="G",1,0)*G66</f>
        <v>0</v>
      </c>
      <c r="I66">
        <f>IF(A66="F",1,0)*G66</f>
        <v>0</v>
      </c>
      <c r="J66" s="7">
        <f>F66/C66</f>
        <v>351.5625</v>
      </c>
      <c r="K66" s="3">
        <f>F66*G66</f>
        <v>0</v>
      </c>
      <c r="L66">
        <f>G66*C66</f>
        <v>0</v>
      </c>
    </row>
    <row r="67" spans="1:12">
      <c r="A67" s="6" t="s">
        <v>3</v>
      </c>
      <c r="B67" s="9" t="s">
        <v>79</v>
      </c>
      <c r="C67" s="1">
        <v>12.6</v>
      </c>
      <c r="D67" s="1">
        <v>14</v>
      </c>
      <c r="E67" s="1" t="s">
        <v>12</v>
      </c>
      <c r="F67" s="4">
        <v>4500</v>
      </c>
      <c r="G67">
        <v>0</v>
      </c>
      <c r="H67">
        <f>IF(A67="G",1,0)*G67</f>
        <v>0</v>
      </c>
      <c r="I67">
        <f>IF(A67="F",1,0)*G67</f>
        <v>0</v>
      </c>
      <c r="J67" s="7">
        <f>F67/C67</f>
        <v>357.14285714285717</v>
      </c>
      <c r="K67" s="3">
        <f>F67*G67</f>
        <v>0</v>
      </c>
      <c r="L67">
        <f>G67*C67</f>
        <v>0</v>
      </c>
    </row>
    <row r="68" spans="1:12">
      <c r="A68" s="6" t="s">
        <v>3</v>
      </c>
      <c r="B68" s="9" t="s">
        <v>141</v>
      </c>
      <c r="C68" s="1">
        <v>12.2</v>
      </c>
      <c r="D68" s="1">
        <v>14</v>
      </c>
      <c r="E68" s="1" t="s">
        <v>12</v>
      </c>
      <c r="F68" s="4">
        <v>4500</v>
      </c>
      <c r="G68">
        <v>0</v>
      </c>
      <c r="H68">
        <f>IF(A68="G",1,0)*G68</f>
        <v>0</v>
      </c>
      <c r="I68">
        <f>IF(A68="F",1,0)*G68</f>
        <v>0</v>
      </c>
      <c r="J68" s="7">
        <f>F68/C68</f>
        <v>368.85245901639348</v>
      </c>
      <c r="K68" s="3">
        <f>F68*G68</f>
        <v>0</v>
      </c>
      <c r="L68">
        <f>G68*C68</f>
        <v>0</v>
      </c>
    </row>
    <row r="69" spans="1:12">
      <c r="A69" s="6" t="s">
        <v>3</v>
      </c>
      <c r="B69" s="9" t="s">
        <v>84</v>
      </c>
      <c r="C69" s="1">
        <v>12.1</v>
      </c>
      <c r="D69" s="1">
        <v>14</v>
      </c>
      <c r="E69" s="1" t="s">
        <v>8</v>
      </c>
      <c r="F69" s="4">
        <v>4500</v>
      </c>
      <c r="G69">
        <v>0</v>
      </c>
      <c r="H69">
        <f>IF(A69="G",1,0)*G69</f>
        <v>0</v>
      </c>
      <c r="I69">
        <f>IF(A69="F",1,0)*G69</f>
        <v>0</v>
      </c>
      <c r="J69" s="7">
        <f>F69/C69</f>
        <v>371.90082644628103</v>
      </c>
      <c r="K69" s="3">
        <f>F69*G69</f>
        <v>0</v>
      </c>
      <c r="L69">
        <f>G69*C69</f>
        <v>0</v>
      </c>
    </row>
    <row r="70" spans="1:12">
      <c r="A70" s="6" t="s">
        <v>3</v>
      </c>
      <c r="B70" s="9" t="s">
        <v>149</v>
      </c>
      <c r="C70" s="1">
        <v>11.7</v>
      </c>
      <c r="D70" s="1">
        <v>14</v>
      </c>
      <c r="E70" s="2" t="s">
        <v>24</v>
      </c>
      <c r="F70" s="4">
        <v>4500</v>
      </c>
      <c r="G70">
        <v>0</v>
      </c>
      <c r="H70">
        <f>IF(A70="G",1,0)*G70</f>
        <v>0</v>
      </c>
      <c r="I70">
        <f>IF(A70="F",1,0)*G70</f>
        <v>0</v>
      </c>
      <c r="J70" s="7">
        <f>F70/C70</f>
        <v>384.61538461538464</v>
      </c>
      <c r="K70" s="3">
        <f>F70*G70</f>
        <v>0</v>
      </c>
      <c r="L70">
        <f>G70*C70</f>
        <v>0</v>
      </c>
    </row>
    <row r="71" spans="1:12">
      <c r="A71" s="6" t="s">
        <v>3</v>
      </c>
      <c r="B71" s="9" t="s">
        <v>101</v>
      </c>
      <c r="C71" s="1">
        <v>11.6</v>
      </c>
      <c r="D71" s="1">
        <v>4</v>
      </c>
      <c r="E71" s="1" t="s">
        <v>8</v>
      </c>
      <c r="F71" s="4">
        <v>4500</v>
      </c>
      <c r="G71">
        <v>0</v>
      </c>
      <c r="H71">
        <f>IF(A71="G",1,0)*G71</f>
        <v>0</v>
      </c>
      <c r="I71">
        <f>IF(A71="F",1,0)*G71</f>
        <v>0</v>
      </c>
      <c r="J71" s="7">
        <f>F71/C71</f>
        <v>387.93103448275861</v>
      </c>
      <c r="K71" s="3">
        <f>F71*G71</f>
        <v>0</v>
      </c>
      <c r="L71">
        <f>G71*C71</f>
        <v>0</v>
      </c>
    </row>
    <row r="72" spans="1:12">
      <c r="A72" s="6" t="s">
        <v>3</v>
      </c>
      <c r="B72" s="9" t="s">
        <v>144</v>
      </c>
      <c r="C72" s="1">
        <v>11.4</v>
      </c>
      <c r="D72" s="1">
        <v>14</v>
      </c>
      <c r="E72" s="2" t="s">
        <v>17</v>
      </c>
      <c r="F72" s="4">
        <v>4500</v>
      </c>
      <c r="G72">
        <v>0</v>
      </c>
      <c r="H72">
        <f>IF(A72="G",1,0)*G72</f>
        <v>0</v>
      </c>
      <c r="I72">
        <f>IF(A72="F",1,0)*G72</f>
        <v>0</v>
      </c>
      <c r="J72" s="7">
        <f>F72/C72</f>
        <v>394.73684210526312</v>
      </c>
      <c r="K72" s="3">
        <f>F72*G72</f>
        <v>0</v>
      </c>
      <c r="L72">
        <f>G72*C72</f>
        <v>0</v>
      </c>
    </row>
    <row r="73" spans="1:12">
      <c r="A73" s="6" t="s">
        <v>0</v>
      </c>
      <c r="B73" s="9" t="s">
        <v>106</v>
      </c>
      <c r="C73" s="1">
        <v>11.2</v>
      </c>
      <c r="D73" s="1">
        <v>14</v>
      </c>
      <c r="E73" s="2" t="s">
        <v>24</v>
      </c>
      <c r="F73" s="4">
        <v>4500</v>
      </c>
      <c r="G73">
        <v>0</v>
      </c>
      <c r="H73">
        <f>IF(A73="G",1,0)*G73</f>
        <v>0</v>
      </c>
      <c r="I73">
        <f>IF(A73="F",1,0)*G73</f>
        <v>0</v>
      </c>
      <c r="J73" s="7">
        <f>F73/C73</f>
        <v>401.78571428571433</v>
      </c>
      <c r="K73" s="3">
        <f>F73*G73</f>
        <v>0</v>
      </c>
      <c r="L73">
        <f>G73*C73</f>
        <v>0</v>
      </c>
    </row>
    <row r="74" spans="1:12">
      <c r="A74" s="6" t="s">
        <v>3</v>
      </c>
      <c r="B74" s="9" t="s">
        <v>97</v>
      </c>
      <c r="C74" s="1">
        <v>11</v>
      </c>
      <c r="D74" s="1">
        <v>10</v>
      </c>
      <c r="E74" s="2" t="s">
        <v>24</v>
      </c>
      <c r="F74" s="4">
        <v>4500</v>
      </c>
      <c r="G74">
        <v>0</v>
      </c>
      <c r="H74">
        <f>IF(A74="G",1,0)*G74</f>
        <v>0</v>
      </c>
      <c r="I74">
        <f>IF(A74="F",1,0)*G74</f>
        <v>0</v>
      </c>
      <c r="J74" s="7">
        <f>F74/C74</f>
        <v>409.09090909090907</v>
      </c>
      <c r="K74" s="3">
        <f>F74*G74</f>
        <v>0</v>
      </c>
      <c r="L74">
        <f>G74*C74</f>
        <v>0</v>
      </c>
    </row>
    <row r="75" spans="1:12">
      <c r="A75" s="6" t="s">
        <v>3</v>
      </c>
      <c r="B75" s="9" t="s">
        <v>122</v>
      </c>
      <c r="C75" s="1">
        <v>11</v>
      </c>
      <c r="D75" s="1">
        <v>7</v>
      </c>
      <c r="E75" s="2" t="s">
        <v>5</v>
      </c>
      <c r="F75" s="4">
        <v>4500</v>
      </c>
      <c r="G75">
        <v>0</v>
      </c>
      <c r="H75">
        <f>IF(A75="G",1,0)*G75</f>
        <v>0</v>
      </c>
      <c r="I75">
        <f>IF(A75="F",1,0)*G75</f>
        <v>0</v>
      </c>
      <c r="J75" s="7">
        <f>F75/C75</f>
        <v>409.09090909090907</v>
      </c>
      <c r="K75" s="3">
        <f>F75*G75</f>
        <v>0</v>
      </c>
      <c r="L75">
        <f>G75*C75</f>
        <v>0</v>
      </c>
    </row>
    <row r="76" spans="1:12">
      <c r="A76" s="6" t="s">
        <v>0</v>
      </c>
      <c r="B76" s="9" t="s">
        <v>136</v>
      </c>
      <c r="C76" s="1">
        <v>10.7</v>
      </c>
      <c r="D76" s="1">
        <v>14</v>
      </c>
      <c r="E76" s="1" t="s">
        <v>10</v>
      </c>
      <c r="F76" s="4">
        <v>4500</v>
      </c>
      <c r="G76">
        <v>0</v>
      </c>
      <c r="H76">
        <f>IF(A76="G",1,0)*G76</f>
        <v>0</v>
      </c>
      <c r="I76">
        <f>IF(A76="F",1,0)*G76</f>
        <v>0</v>
      </c>
      <c r="J76" s="7">
        <f>F76/C76</f>
        <v>420.56074766355141</v>
      </c>
      <c r="K76" s="3">
        <f>F76*G76</f>
        <v>0</v>
      </c>
      <c r="L76">
        <f>G76*C76</f>
        <v>0</v>
      </c>
    </row>
    <row r="77" spans="1:12">
      <c r="A77" s="6" t="s">
        <v>3</v>
      </c>
      <c r="B77" s="9" t="s">
        <v>135</v>
      </c>
      <c r="C77" s="1">
        <v>10.5</v>
      </c>
      <c r="D77" s="1">
        <v>13</v>
      </c>
      <c r="E77" s="2" t="s">
        <v>17</v>
      </c>
      <c r="F77" s="4">
        <v>4500</v>
      </c>
      <c r="G77">
        <v>0</v>
      </c>
      <c r="H77">
        <f>IF(A77="G",1,0)*G77</f>
        <v>0</v>
      </c>
      <c r="I77">
        <f>IF(A77="F",1,0)*G77</f>
        <v>0</v>
      </c>
      <c r="J77" s="7">
        <f>F77/C77</f>
        <v>428.57142857142856</v>
      </c>
      <c r="K77" s="3">
        <f>F77*G77</f>
        <v>0</v>
      </c>
      <c r="L77">
        <f>G77*C77</f>
        <v>0</v>
      </c>
    </row>
    <row r="78" spans="1:12">
      <c r="A78" s="6" t="s">
        <v>3</v>
      </c>
      <c r="B78" s="9" t="s">
        <v>76</v>
      </c>
      <c r="C78" s="1">
        <v>10</v>
      </c>
      <c r="D78" s="1">
        <v>12</v>
      </c>
      <c r="E78" s="2" t="s">
        <v>14</v>
      </c>
      <c r="F78" s="4">
        <v>4500</v>
      </c>
      <c r="G78">
        <v>0</v>
      </c>
      <c r="H78">
        <f>IF(A78="G",1,0)*G78</f>
        <v>0</v>
      </c>
      <c r="I78">
        <f>IF(A78="F",1,0)*G78</f>
        <v>0</v>
      </c>
      <c r="J78" s="7">
        <f>F78/C78</f>
        <v>450</v>
      </c>
      <c r="K78" s="3">
        <f>F78*G78</f>
        <v>0</v>
      </c>
      <c r="L78">
        <f>G78*C78</f>
        <v>0</v>
      </c>
    </row>
    <row r="79" spans="1:12">
      <c r="A79" s="6" t="s">
        <v>0</v>
      </c>
      <c r="B79" s="9" t="s">
        <v>93</v>
      </c>
      <c r="C79" s="1">
        <v>9.5</v>
      </c>
      <c r="D79" s="1">
        <v>14</v>
      </c>
      <c r="E79" s="2" t="s">
        <v>17</v>
      </c>
      <c r="F79" s="4">
        <v>4500</v>
      </c>
      <c r="G79">
        <v>0</v>
      </c>
      <c r="H79">
        <f>IF(A79="G",1,0)*G79</f>
        <v>0</v>
      </c>
      <c r="I79">
        <f>IF(A79="F",1,0)*G79</f>
        <v>0</v>
      </c>
      <c r="J79" s="7">
        <f>F79/C79</f>
        <v>473.68421052631578</v>
      </c>
      <c r="K79" s="3">
        <f>F79*G79</f>
        <v>0</v>
      </c>
      <c r="L79">
        <f>G79*C79</f>
        <v>0</v>
      </c>
    </row>
    <row r="80" spans="1:12">
      <c r="A80" s="6" t="s">
        <v>0</v>
      </c>
      <c r="B80" s="9" t="s">
        <v>142</v>
      </c>
      <c r="C80" s="1">
        <v>9.3000000000000007</v>
      </c>
      <c r="D80" s="1">
        <v>12</v>
      </c>
      <c r="E80" s="2" t="s">
        <v>24</v>
      </c>
      <c r="F80" s="4">
        <v>4500</v>
      </c>
      <c r="G80">
        <v>0</v>
      </c>
      <c r="H80">
        <f>IF(A80="G",1,0)*G80</f>
        <v>0</v>
      </c>
      <c r="I80">
        <f>IF(A80="F",1,0)*G80</f>
        <v>0</v>
      </c>
      <c r="J80" s="7">
        <f>F80/C80</f>
        <v>483.87096774193543</v>
      </c>
      <c r="K80" s="3">
        <f>F80*G80</f>
        <v>0</v>
      </c>
      <c r="L80">
        <f>G80*C80</f>
        <v>0</v>
      </c>
    </row>
    <row r="81" spans="1:12">
      <c r="A81" s="6" t="s">
        <v>0</v>
      </c>
      <c r="B81" s="9" t="s">
        <v>104</v>
      </c>
      <c r="C81" s="1">
        <v>9.1999999999999993</v>
      </c>
      <c r="D81" s="1">
        <v>13</v>
      </c>
      <c r="E81" s="2" t="s">
        <v>14</v>
      </c>
      <c r="F81" s="4">
        <v>4500</v>
      </c>
      <c r="G81">
        <v>0</v>
      </c>
      <c r="H81">
        <f>IF(A81="G",1,0)*G81</f>
        <v>0</v>
      </c>
      <c r="I81">
        <f>IF(A81="F",1,0)*G81</f>
        <v>0</v>
      </c>
      <c r="J81" s="7">
        <f>F81/C81</f>
        <v>489.13043478260875</v>
      </c>
      <c r="K81" s="3">
        <f>F81*G81</f>
        <v>0</v>
      </c>
      <c r="L81">
        <f>G81*C81</f>
        <v>0</v>
      </c>
    </row>
    <row r="82" spans="1:12">
      <c r="A82" s="6" t="s">
        <v>3</v>
      </c>
      <c r="B82" s="9" t="s">
        <v>114</v>
      </c>
      <c r="C82" s="1">
        <v>9</v>
      </c>
      <c r="D82" s="1">
        <v>14</v>
      </c>
      <c r="E82" s="1" t="s">
        <v>21</v>
      </c>
      <c r="F82" s="4">
        <v>4500</v>
      </c>
      <c r="G82">
        <v>0</v>
      </c>
      <c r="H82">
        <f>IF(A82="G",1,0)*G82</f>
        <v>0</v>
      </c>
      <c r="I82">
        <f>IF(A82="F",1,0)*G82</f>
        <v>0</v>
      </c>
      <c r="J82" s="7">
        <f>F82/C82</f>
        <v>500</v>
      </c>
      <c r="K82" s="3">
        <f>F82*G82</f>
        <v>0</v>
      </c>
      <c r="L82">
        <f>G82*C82</f>
        <v>0</v>
      </c>
    </row>
    <row r="83" spans="1:12">
      <c r="A83" s="6" t="s">
        <v>3</v>
      </c>
      <c r="B83" s="9" t="s">
        <v>78</v>
      </c>
      <c r="C83" s="1">
        <v>7.8</v>
      </c>
      <c r="D83" s="1">
        <v>11</v>
      </c>
      <c r="E83" s="2" t="s">
        <v>2</v>
      </c>
      <c r="F83" s="4">
        <v>4500</v>
      </c>
      <c r="G83">
        <v>0</v>
      </c>
      <c r="H83">
        <f>IF(A83="G",1,0)*G83</f>
        <v>0</v>
      </c>
      <c r="I83">
        <f>IF(A83="F",1,0)*G83</f>
        <v>0</v>
      </c>
      <c r="J83" s="7">
        <f>F83/C83</f>
        <v>576.92307692307691</v>
      </c>
      <c r="K83" s="3">
        <f>F83*G83</f>
        <v>0</v>
      </c>
      <c r="L83">
        <f>G83*C83</f>
        <v>0</v>
      </c>
    </row>
    <row r="84" spans="1:12">
      <c r="A84" s="6" t="s">
        <v>3</v>
      </c>
      <c r="B84" s="9" t="s">
        <v>98</v>
      </c>
      <c r="C84" s="1">
        <v>7.6</v>
      </c>
      <c r="D84" s="1">
        <v>12</v>
      </c>
      <c r="E84" s="1" t="s">
        <v>21</v>
      </c>
      <c r="F84" s="4">
        <v>4500</v>
      </c>
      <c r="G84">
        <v>0</v>
      </c>
      <c r="H84">
        <f>IF(A84="G",1,0)*G84</f>
        <v>0</v>
      </c>
      <c r="I84">
        <f>IF(A84="F",1,0)*G84</f>
        <v>0</v>
      </c>
      <c r="J84" s="7">
        <f>F84/C84</f>
        <v>592.1052631578948</v>
      </c>
      <c r="K84" s="3">
        <f>F84*G84</f>
        <v>0</v>
      </c>
      <c r="L84">
        <f>G84*C84</f>
        <v>0</v>
      </c>
    </row>
    <row r="85" spans="1:12">
      <c r="A85" s="6" t="s">
        <v>3</v>
      </c>
      <c r="B85" s="9" t="s">
        <v>110</v>
      </c>
      <c r="C85" s="1">
        <v>7.6</v>
      </c>
      <c r="D85" s="1">
        <v>33</v>
      </c>
      <c r="E85" s="2" t="s">
        <v>17</v>
      </c>
      <c r="F85" s="4">
        <v>4500</v>
      </c>
      <c r="G85">
        <v>0</v>
      </c>
      <c r="H85">
        <f>IF(A85="G",1,0)*G85</f>
        <v>0</v>
      </c>
      <c r="I85">
        <f>IF(A85="F",1,0)*G85</f>
        <v>0</v>
      </c>
      <c r="J85" s="7">
        <f>F85/C85</f>
        <v>592.1052631578948</v>
      </c>
      <c r="K85" s="3">
        <f>F85*G85</f>
        <v>0</v>
      </c>
      <c r="L85">
        <f>G85*C85</f>
        <v>0</v>
      </c>
    </row>
    <row r="86" spans="1:12">
      <c r="A86" s="6" t="s">
        <v>0</v>
      </c>
      <c r="B86" s="9" t="s">
        <v>75</v>
      </c>
      <c r="C86" s="1">
        <v>7.1</v>
      </c>
      <c r="D86" s="1">
        <v>14</v>
      </c>
      <c r="E86" s="1" t="s">
        <v>8</v>
      </c>
      <c r="F86" s="4">
        <v>4500</v>
      </c>
      <c r="G86">
        <v>0</v>
      </c>
      <c r="H86">
        <f>IF(A86="G",1,0)*G86</f>
        <v>0</v>
      </c>
      <c r="I86">
        <f>IF(A86="F",1,0)*G86</f>
        <v>0</v>
      </c>
      <c r="J86" s="7">
        <f>F86/C86</f>
        <v>633.80281690140851</v>
      </c>
      <c r="K86" s="3">
        <f>F86*G86</f>
        <v>0</v>
      </c>
      <c r="L86">
        <f>G86*C86</f>
        <v>0</v>
      </c>
    </row>
    <row r="87" spans="1:12">
      <c r="A87" s="6" t="s">
        <v>0</v>
      </c>
      <c r="B87" s="9" t="s">
        <v>96</v>
      </c>
      <c r="C87" s="1">
        <v>7</v>
      </c>
      <c r="D87" s="1">
        <v>13</v>
      </c>
      <c r="E87" s="2" t="s">
        <v>5</v>
      </c>
      <c r="F87" s="4">
        <v>4500</v>
      </c>
      <c r="G87">
        <v>0</v>
      </c>
      <c r="H87">
        <f>IF(A87="G",1,0)*G87</f>
        <v>0</v>
      </c>
      <c r="I87">
        <f>IF(A87="F",1,0)*G87</f>
        <v>0</v>
      </c>
      <c r="J87" s="7">
        <f>F87/C87</f>
        <v>642.85714285714289</v>
      </c>
      <c r="K87" s="3">
        <f>F87*G87</f>
        <v>0</v>
      </c>
      <c r="L87">
        <f>G87*C87</f>
        <v>0</v>
      </c>
    </row>
    <row r="88" spans="1:12">
      <c r="A88" s="6" t="s">
        <v>0</v>
      </c>
      <c r="B88" s="9" t="s">
        <v>81</v>
      </c>
      <c r="C88" s="1">
        <v>6.9</v>
      </c>
      <c r="D88" s="1">
        <v>14</v>
      </c>
      <c r="E88" s="1" t="s">
        <v>12</v>
      </c>
      <c r="F88" s="4">
        <v>4500</v>
      </c>
      <c r="G88">
        <v>0</v>
      </c>
      <c r="H88">
        <f>IF(A88="G",1,0)*G88</f>
        <v>0</v>
      </c>
      <c r="I88">
        <f>IF(A88="F",1,0)*G88</f>
        <v>0</v>
      </c>
      <c r="J88" s="7">
        <f>F88/C88</f>
        <v>652.17391304347825</v>
      </c>
      <c r="K88" s="3">
        <f>F88*G88</f>
        <v>0</v>
      </c>
      <c r="L88">
        <f>G88*C88</f>
        <v>0</v>
      </c>
    </row>
    <row r="89" spans="1:12">
      <c r="A89" s="6" t="s">
        <v>3</v>
      </c>
      <c r="B89" s="9" t="s">
        <v>116</v>
      </c>
      <c r="C89" s="1">
        <v>6.9</v>
      </c>
      <c r="D89" s="1">
        <v>13</v>
      </c>
      <c r="E89" s="2" t="s">
        <v>14</v>
      </c>
      <c r="F89" s="4">
        <v>4500</v>
      </c>
      <c r="G89">
        <v>0</v>
      </c>
      <c r="H89">
        <f>IF(A89="G",1,0)*G89</f>
        <v>0</v>
      </c>
      <c r="I89">
        <f>IF(A89="F",1,0)*G89</f>
        <v>0</v>
      </c>
      <c r="J89" s="7">
        <f>F89/C89</f>
        <v>652.17391304347825</v>
      </c>
      <c r="K89" s="3">
        <f>F89*G89</f>
        <v>0</v>
      </c>
      <c r="L89">
        <f>G89*C89</f>
        <v>0</v>
      </c>
    </row>
    <row r="90" spans="1:12">
      <c r="A90" s="6" t="s">
        <v>0</v>
      </c>
      <c r="B90" s="9" t="s">
        <v>148</v>
      </c>
      <c r="C90" s="1">
        <v>6.9</v>
      </c>
      <c r="D90" s="1">
        <v>11</v>
      </c>
      <c r="E90" s="2" t="s">
        <v>14</v>
      </c>
      <c r="F90" s="4">
        <v>4500</v>
      </c>
      <c r="G90">
        <v>0</v>
      </c>
      <c r="H90">
        <f>IF(A90="G",1,0)*G90</f>
        <v>0</v>
      </c>
      <c r="I90">
        <f>IF(A90="F",1,0)*G90</f>
        <v>0</v>
      </c>
      <c r="J90" s="7">
        <f>F90/C90</f>
        <v>652.17391304347825</v>
      </c>
      <c r="K90" s="3">
        <f>F90*G90</f>
        <v>0</v>
      </c>
      <c r="L90">
        <f>G90*C90</f>
        <v>0</v>
      </c>
    </row>
    <row r="91" spans="1:12">
      <c r="A91" s="6" t="s">
        <v>3</v>
      </c>
      <c r="B91" s="9" t="s">
        <v>73</v>
      </c>
      <c r="C91" s="1">
        <v>6.6</v>
      </c>
      <c r="D91" s="1">
        <v>13</v>
      </c>
      <c r="E91" s="1" t="s">
        <v>10</v>
      </c>
      <c r="F91" s="4">
        <v>4500</v>
      </c>
      <c r="G91">
        <v>0</v>
      </c>
      <c r="H91">
        <f>IF(A91="G",1,0)*G91</f>
        <v>0</v>
      </c>
      <c r="I91">
        <f>IF(A91="F",1,0)*G91</f>
        <v>0</v>
      </c>
      <c r="J91" s="7">
        <f>F91/C91</f>
        <v>681.81818181818187</v>
      </c>
      <c r="K91" s="3">
        <f>F91*G91</f>
        <v>0</v>
      </c>
      <c r="L91">
        <f>G91*C91</f>
        <v>0</v>
      </c>
    </row>
    <row r="92" spans="1:12">
      <c r="A92" s="6" t="s">
        <v>3</v>
      </c>
      <c r="B92" s="9" t="s">
        <v>91</v>
      </c>
      <c r="C92" s="1">
        <v>6.5</v>
      </c>
      <c r="D92" s="1">
        <v>14</v>
      </c>
      <c r="E92" s="2" t="s">
        <v>24</v>
      </c>
      <c r="F92" s="4">
        <v>4500</v>
      </c>
      <c r="G92">
        <v>0</v>
      </c>
      <c r="H92">
        <f>IF(A92="G",1,0)*G92</f>
        <v>0</v>
      </c>
      <c r="I92">
        <f>IF(A92="F",1,0)*G92</f>
        <v>0</v>
      </c>
      <c r="J92" s="7">
        <f>F92/C92</f>
        <v>692.30769230769226</v>
      </c>
      <c r="K92" s="3">
        <f>F92*G92</f>
        <v>0</v>
      </c>
      <c r="L92">
        <f>G92*C92</f>
        <v>0</v>
      </c>
    </row>
    <row r="93" spans="1:12">
      <c r="A93" s="6" t="s">
        <v>3</v>
      </c>
      <c r="B93" s="9" t="s">
        <v>143</v>
      </c>
      <c r="C93" s="1">
        <v>6.1</v>
      </c>
      <c r="D93" s="1">
        <v>7</v>
      </c>
      <c r="E93" s="2" t="s">
        <v>17</v>
      </c>
      <c r="F93" s="4">
        <v>4500</v>
      </c>
      <c r="G93">
        <v>0</v>
      </c>
      <c r="H93">
        <f>IF(A93="G",1,0)*G93</f>
        <v>0</v>
      </c>
      <c r="I93">
        <f>IF(A93="F",1,0)*G93</f>
        <v>0</v>
      </c>
      <c r="J93" s="7">
        <f>F93/C93</f>
        <v>737.70491803278696</v>
      </c>
      <c r="K93" s="3">
        <f>F93*G93</f>
        <v>0</v>
      </c>
      <c r="L93">
        <f>G93*C93</f>
        <v>0</v>
      </c>
    </row>
    <row r="94" spans="1:12">
      <c r="A94" s="6" t="s">
        <v>3</v>
      </c>
      <c r="B94" s="9" t="s">
        <v>150</v>
      </c>
      <c r="C94" s="1">
        <v>6.1</v>
      </c>
      <c r="D94" s="1">
        <v>29</v>
      </c>
      <c r="E94" s="2" t="s">
        <v>24</v>
      </c>
      <c r="F94" s="4">
        <v>4500</v>
      </c>
      <c r="G94">
        <v>0</v>
      </c>
      <c r="H94">
        <f>IF(A94="G",1,0)*G94</f>
        <v>0</v>
      </c>
      <c r="I94">
        <f>IF(A94="F",1,0)*G94</f>
        <v>0</v>
      </c>
      <c r="J94" s="7">
        <f>F94/C94</f>
        <v>737.70491803278696</v>
      </c>
      <c r="K94" s="3">
        <f>F94*G94</f>
        <v>0</v>
      </c>
      <c r="L94">
        <f>G94*C94</f>
        <v>0</v>
      </c>
    </row>
    <row r="95" spans="1:12">
      <c r="A95" s="6" t="s">
        <v>3</v>
      </c>
      <c r="B95" s="9" t="s">
        <v>147</v>
      </c>
      <c r="C95" s="1">
        <v>6</v>
      </c>
      <c r="D95" s="1">
        <v>13</v>
      </c>
      <c r="E95" s="2" t="s">
        <v>2</v>
      </c>
      <c r="F95" s="4">
        <v>4500</v>
      </c>
      <c r="G95">
        <v>0</v>
      </c>
      <c r="H95">
        <f>IF(A95="G",1,0)*G95</f>
        <v>0</v>
      </c>
      <c r="I95">
        <f>IF(A95="F",1,0)*G95</f>
        <v>0</v>
      </c>
      <c r="J95" s="7">
        <f>F95/C95</f>
        <v>750</v>
      </c>
      <c r="K95" s="3">
        <f>F95*G95</f>
        <v>0</v>
      </c>
      <c r="L95">
        <f>G95*C95</f>
        <v>0</v>
      </c>
    </row>
    <row r="96" spans="1:12">
      <c r="A96" s="6" t="s">
        <v>3</v>
      </c>
      <c r="B96" s="9" t="s">
        <v>134</v>
      </c>
      <c r="C96" s="1">
        <v>5.9</v>
      </c>
      <c r="D96" s="1">
        <v>8</v>
      </c>
      <c r="E96" s="1" t="s">
        <v>8</v>
      </c>
      <c r="F96" s="4">
        <v>4500</v>
      </c>
      <c r="G96">
        <v>0</v>
      </c>
      <c r="H96">
        <f>IF(A96="G",1,0)*G96</f>
        <v>0</v>
      </c>
      <c r="I96">
        <f>IF(A96="F",1,0)*G96</f>
        <v>0</v>
      </c>
      <c r="J96" s="7">
        <f>F96/C96</f>
        <v>762.71186440677957</v>
      </c>
      <c r="K96" s="3">
        <f>F96*G96</f>
        <v>0</v>
      </c>
      <c r="L96">
        <f>G96*C96</f>
        <v>0</v>
      </c>
    </row>
    <row r="97" spans="1:12">
      <c r="A97" s="6" t="s">
        <v>3</v>
      </c>
      <c r="B97" s="9" t="s">
        <v>112</v>
      </c>
      <c r="C97" s="1">
        <v>5.7</v>
      </c>
      <c r="D97" s="1">
        <v>14</v>
      </c>
      <c r="E97" s="2" t="s">
        <v>2</v>
      </c>
      <c r="F97" s="4">
        <v>4500</v>
      </c>
      <c r="G97">
        <v>0</v>
      </c>
      <c r="H97">
        <f>IF(A97="G",1,0)*G97</f>
        <v>0</v>
      </c>
      <c r="I97">
        <f>IF(A97="F",1,0)*G97</f>
        <v>0</v>
      </c>
      <c r="J97" s="7">
        <f>F97/C97</f>
        <v>789.47368421052624</v>
      </c>
      <c r="K97" s="3">
        <f>F97*G97</f>
        <v>0</v>
      </c>
      <c r="L97">
        <f>G97*C97</f>
        <v>0</v>
      </c>
    </row>
    <row r="98" spans="1:12">
      <c r="A98" s="6" t="s">
        <v>3</v>
      </c>
      <c r="B98" s="9" t="s">
        <v>83</v>
      </c>
      <c r="C98" s="1">
        <v>5.4</v>
      </c>
      <c r="D98" s="1">
        <v>15</v>
      </c>
      <c r="E98" s="2" t="s">
        <v>2</v>
      </c>
      <c r="F98" s="4">
        <v>4500</v>
      </c>
      <c r="G98">
        <v>0</v>
      </c>
      <c r="H98">
        <f>IF(A98="G",1,0)*G98</f>
        <v>0</v>
      </c>
      <c r="I98">
        <f>IF(A98="F",1,0)*G98</f>
        <v>0</v>
      </c>
      <c r="J98" s="7">
        <f>F98/C98</f>
        <v>833.33333333333326</v>
      </c>
      <c r="K98" s="3">
        <f>F98*G98</f>
        <v>0</v>
      </c>
      <c r="L98">
        <f>G98*C98</f>
        <v>0</v>
      </c>
    </row>
    <row r="99" spans="1:12">
      <c r="A99" s="6" t="s">
        <v>3</v>
      </c>
      <c r="B99" s="9" t="s">
        <v>111</v>
      </c>
      <c r="C99" s="1">
        <v>5.3</v>
      </c>
      <c r="D99" s="1">
        <v>14</v>
      </c>
      <c r="E99" s="1" t="s">
        <v>12</v>
      </c>
      <c r="F99" s="4">
        <v>4500</v>
      </c>
      <c r="G99">
        <v>0</v>
      </c>
      <c r="H99">
        <f>IF(A99="G",1,0)*G99</f>
        <v>0</v>
      </c>
      <c r="I99">
        <f>IF(A99="F",1,0)*G99</f>
        <v>0</v>
      </c>
      <c r="J99" s="7">
        <f>F99/C99</f>
        <v>849.05660377358492</v>
      </c>
      <c r="K99" s="3">
        <f>F99*G99</f>
        <v>0</v>
      </c>
      <c r="L99">
        <f>G99*C99</f>
        <v>0</v>
      </c>
    </row>
    <row r="100" spans="1:12">
      <c r="A100" s="6" t="s">
        <v>0</v>
      </c>
      <c r="B100" s="9" t="s">
        <v>77</v>
      </c>
      <c r="C100" s="1">
        <v>4.9000000000000004</v>
      </c>
      <c r="D100" s="1">
        <v>12</v>
      </c>
      <c r="E100" s="1" t="s">
        <v>10</v>
      </c>
      <c r="F100" s="4">
        <v>4500</v>
      </c>
      <c r="G100">
        <v>0</v>
      </c>
      <c r="H100">
        <f>IF(A100="G",1,0)*G100</f>
        <v>0</v>
      </c>
      <c r="I100">
        <f>IF(A100="F",1,0)*G100</f>
        <v>0</v>
      </c>
      <c r="J100" s="7">
        <f>F100/C100</f>
        <v>918.36734693877543</v>
      </c>
      <c r="K100" s="3">
        <f>F100*G100</f>
        <v>0</v>
      </c>
      <c r="L100">
        <f>G100*C100</f>
        <v>0</v>
      </c>
    </row>
    <row r="101" spans="1:12">
      <c r="A101" s="6" t="s">
        <v>3</v>
      </c>
      <c r="B101" s="9" t="s">
        <v>109</v>
      </c>
      <c r="C101" s="1">
        <v>4.7</v>
      </c>
      <c r="D101" s="1">
        <v>13</v>
      </c>
      <c r="E101" s="1" t="s">
        <v>8</v>
      </c>
      <c r="F101" s="4">
        <v>4500</v>
      </c>
      <c r="G101">
        <v>0</v>
      </c>
      <c r="H101">
        <f>IF(A101="G",1,0)*G101</f>
        <v>0</v>
      </c>
      <c r="I101">
        <f>IF(A101="F",1,0)*G101</f>
        <v>0</v>
      </c>
      <c r="J101" s="7">
        <f>F101/C101</f>
        <v>957.44680851063822</v>
      </c>
      <c r="K101" s="3">
        <f>F101*G101</f>
        <v>0</v>
      </c>
      <c r="L101">
        <f>G101*C101</f>
        <v>0</v>
      </c>
    </row>
    <row r="102" spans="1:12">
      <c r="A102" s="6" t="s">
        <v>0</v>
      </c>
      <c r="B102" s="9" t="s">
        <v>137</v>
      </c>
      <c r="C102" s="1">
        <v>4.5</v>
      </c>
      <c r="D102" s="1">
        <v>9</v>
      </c>
      <c r="E102" s="2" t="s">
        <v>17</v>
      </c>
      <c r="F102" s="4">
        <v>4500</v>
      </c>
      <c r="G102">
        <v>0</v>
      </c>
      <c r="H102">
        <f>IF(A102="G",1,0)*G102</f>
        <v>0</v>
      </c>
      <c r="I102">
        <f>IF(A102="F",1,0)*G102</f>
        <v>0</v>
      </c>
      <c r="J102" s="7">
        <f>F102/C102</f>
        <v>1000</v>
      </c>
      <c r="K102" s="3">
        <f>F102*G102</f>
        <v>0</v>
      </c>
      <c r="L102">
        <f>G102*C102</f>
        <v>0</v>
      </c>
    </row>
    <row r="103" spans="1:12">
      <c r="A103" s="6" t="s">
        <v>3</v>
      </c>
      <c r="B103" s="9" t="s">
        <v>103</v>
      </c>
      <c r="C103" s="1">
        <v>4.2</v>
      </c>
      <c r="D103" s="1">
        <v>7</v>
      </c>
      <c r="E103" s="1" t="s">
        <v>41</v>
      </c>
      <c r="F103" s="4">
        <v>4500</v>
      </c>
      <c r="G103">
        <v>0</v>
      </c>
      <c r="H103">
        <f>IF(A103="G",1,0)*G103</f>
        <v>0</v>
      </c>
      <c r="I103">
        <f>IF(A103="F",1,0)*G103</f>
        <v>0</v>
      </c>
      <c r="J103" s="7">
        <f>F103/C103</f>
        <v>1071.4285714285713</v>
      </c>
      <c r="K103" s="3">
        <f>F103*G103</f>
        <v>0</v>
      </c>
      <c r="L103">
        <f>G103*C103</f>
        <v>0</v>
      </c>
    </row>
    <row r="104" spans="1:12">
      <c r="A104" s="6" t="s">
        <v>3</v>
      </c>
      <c r="B104" s="9" t="s">
        <v>85</v>
      </c>
      <c r="C104" s="1">
        <v>3.4</v>
      </c>
      <c r="D104" s="1">
        <v>3</v>
      </c>
      <c r="E104" s="2" t="s">
        <v>24</v>
      </c>
      <c r="F104" s="4">
        <v>4500</v>
      </c>
      <c r="G104">
        <v>0</v>
      </c>
      <c r="H104">
        <f>IF(A104="G",1,0)*G104</f>
        <v>0</v>
      </c>
      <c r="I104">
        <f>IF(A104="F",1,0)*G104</f>
        <v>0</v>
      </c>
      <c r="J104" s="7">
        <f>F104/C104</f>
        <v>1323.5294117647059</v>
      </c>
      <c r="K104" s="3">
        <f>F104*G104</f>
        <v>0</v>
      </c>
      <c r="L104">
        <f>G104*C104</f>
        <v>0</v>
      </c>
    </row>
    <row r="105" spans="1:12">
      <c r="A105" s="6" t="s">
        <v>3</v>
      </c>
      <c r="B105" s="9" t="s">
        <v>117</v>
      </c>
      <c r="C105" s="1">
        <v>3.3</v>
      </c>
      <c r="D105" s="1">
        <v>14</v>
      </c>
      <c r="E105" s="1" t="s">
        <v>41</v>
      </c>
      <c r="F105" s="4">
        <v>4500</v>
      </c>
      <c r="G105">
        <v>0</v>
      </c>
      <c r="H105">
        <f>IF(A105="G",1,0)*G105</f>
        <v>0</v>
      </c>
      <c r="I105">
        <f>IF(A105="F",1,0)*G105</f>
        <v>0</v>
      </c>
      <c r="J105" s="7">
        <f>F105/C105</f>
        <v>1363.6363636363637</v>
      </c>
      <c r="K105" s="3">
        <f>F105*G105</f>
        <v>0</v>
      </c>
      <c r="L105">
        <f>G105*C105</f>
        <v>0</v>
      </c>
    </row>
    <row r="106" spans="1:12">
      <c r="A106" s="6" t="s">
        <v>3</v>
      </c>
      <c r="B106" s="9" t="s">
        <v>133</v>
      </c>
      <c r="C106" s="1">
        <v>3.2</v>
      </c>
      <c r="D106" s="1">
        <v>13</v>
      </c>
      <c r="E106" s="1" t="s">
        <v>41</v>
      </c>
      <c r="F106" s="4">
        <v>4500</v>
      </c>
      <c r="G106">
        <v>0</v>
      </c>
      <c r="H106">
        <f>IF(A106="G",1,0)*G106</f>
        <v>0</v>
      </c>
      <c r="I106">
        <f>IF(A106="F",1,0)*G106</f>
        <v>0</v>
      </c>
      <c r="J106" s="7">
        <f>F106/C106</f>
        <v>1406.25</v>
      </c>
      <c r="K106" s="3">
        <f>F106*G106</f>
        <v>0</v>
      </c>
      <c r="L106">
        <f>G106*C106</f>
        <v>0</v>
      </c>
    </row>
    <row r="107" spans="1:12">
      <c r="A107" s="6" t="s">
        <v>0</v>
      </c>
      <c r="B107" s="9" t="s">
        <v>74</v>
      </c>
      <c r="C107" s="1">
        <v>2.9</v>
      </c>
      <c r="D107" s="1">
        <v>7</v>
      </c>
      <c r="E107" s="1" t="s">
        <v>10</v>
      </c>
      <c r="F107" s="4">
        <v>4500</v>
      </c>
      <c r="G107">
        <v>0</v>
      </c>
      <c r="H107">
        <f>IF(A107="G",1,0)*G107</f>
        <v>0</v>
      </c>
      <c r="I107">
        <f>IF(A107="F",1,0)*G107</f>
        <v>0</v>
      </c>
      <c r="J107" s="7">
        <f>F107/C107</f>
        <v>1551.7241379310344</v>
      </c>
      <c r="K107" s="3">
        <f>F107*G107</f>
        <v>0</v>
      </c>
      <c r="L107">
        <f>G107*C107</f>
        <v>0</v>
      </c>
    </row>
    <row r="108" spans="1:12">
      <c r="A108" s="6" t="s">
        <v>3</v>
      </c>
      <c r="B108" s="9" t="s">
        <v>89</v>
      </c>
      <c r="C108" s="1">
        <v>2.8</v>
      </c>
      <c r="D108" s="1">
        <v>7</v>
      </c>
      <c r="E108" s="2" t="s">
        <v>24</v>
      </c>
      <c r="F108" s="4">
        <v>4500</v>
      </c>
      <c r="G108">
        <v>0</v>
      </c>
      <c r="H108">
        <f>IF(A108="G",1,0)*G108</f>
        <v>0</v>
      </c>
      <c r="I108">
        <f>IF(A108="F",1,0)*G108</f>
        <v>0</v>
      </c>
      <c r="J108" s="7">
        <f>F108/C108</f>
        <v>1607.1428571428573</v>
      </c>
      <c r="K108" s="3">
        <f>F108*G108</f>
        <v>0</v>
      </c>
      <c r="L108">
        <f>G108*C108</f>
        <v>0</v>
      </c>
    </row>
    <row r="109" spans="1:12">
      <c r="A109" s="6" t="s">
        <v>3</v>
      </c>
      <c r="B109" s="9" t="s">
        <v>130</v>
      </c>
      <c r="C109" s="1">
        <v>2.8</v>
      </c>
      <c r="D109" s="1">
        <v>7</v>
      </c>
      <c r="E109" s="1" t="s">
        <v>41</v>
      </c>
      <c r="F109" s="4">
        <v>4500</v>
      </c>
      <c r="G109">
        <v>0</v>
      </c>
      <c r="H109">
        <f>IF(A109="G",1,0)*G109</f>
        <v>0</v>
      </c>
      <c r="I109">
        <f>IF(A109="F",1,0)*G109</f>
        <v>0</v>
      </c>
      <c r="J109" s="7">
        <f>F109/C109</f>
        <v>1607.1428571428573</v>
      </c>
      <c r="K109" s="3">
        <f>F109*G109</f>
        <v>0</v>
      </c>
      <c r="L109">
        <f>G109*C109</f>
        <v>0</v>
      </c>
    </row>
    <row r="110" spans="1:12">
      <c r="A110" s="6" t="s">
        <v>3</v>
      </c>
      <c r="B110" s="9" t="s">
        <v>87</v>
      </c>
      <c r="C110" s="1">
        <v>2.4</v>
      </c>
      <c r="D110" s="1">
        <v>6</v>
      </c>
      <c r="E110" s="2" t="s">
        <v>24</v>
      </c>
      <c r="F110" s="4">
        <v>4500</v>
      </c>
      <c r="G110">
        <v>0</v>
      </c>
      <c r="H110">
        <f>IF(A110="G",1,0)*G110</f>
        <v>0</v>
      </c>
      <c r="I110">
        <f>IF(A110="F",1,0)*G110</f>
        <v>0</v>
      </c>
      <c r="J110" s="7">
        <f>F110/C110</f>
        <v>1875</v>
      </c>
      <c r="K110" s="3">
        <f>F110*G110</f>
        <v>0</v>
      </c>
      <c r="L110">
        <f>G110*C110</f>
        <v>0</v>
      </c>
    </row>
    <row r="111" spans="1:12">
      <c r="A111" s="6" t="s">
        <v>3</v>
      </c>
      <c r="B111" s="9" t="s">
        <v>131</v>
      </c>
      <c r="C111" s="1">
        <v>2.4</v>
      </c>
      <c r="D111" s="1">
        <v>6</v>
      </c>
      <c r="E111" s="2" t="s">
        <v>5</v>
      </c>
      <c r="F111" s="4">
        <v>4500</v>
      </c>
      <c r="G111">
        <v>0</v>
      </c>
      <c r="H111">
        <f>IF(A111="G",1,0)*G111</f>
        <v>0</v>
      </c>
      <c r="I111">
        <f>IF(A111="F",1,0)*G111</f>
        <v>0</v>
      </c>
      <c r="J111" s="7">
        <f>F111/C111</f>
        <v>1875</v>
      </c>
      <c r="K111" s="3">
        <f>F111*G111</f>
        <v>0</v>
      </c>
      <c r="L111">
        <f>G111*C111</f>
        <v>0</v>
      </c>
    </row>
    <row r="112" spans="1:12">
      <c r="A112" s="6" t="s">
        <v>3</v>
      </c>
      <c r="B112" s="9" t="s">
        <v>139</v>
      </c>
      <c r="C112" s="1">
        <v>2.4</v>
      </c>
      <c r="D112" s="1">
        <v>4</v>
      </c>
      <c r="E112" s="1" t="s">
        <v>21</v>
      </c>
      <c r="F112" s="4">
        <v>4500</v>
      </c>
      <c r="G112">
        <v>0</v>
      </c>
      <c r="H112">
        <f>IF(A112="G",1,0)*G112</f>
        <v>0</v>
      </c>
      <c r="I112">
        <f>IF(A112="F",1,0)*G112</f>
        <v>0</v>
      </c>
      <c r="J112" s="7">
        <f>F112/C112</f>
        <v>1875</v>
      </c>
      <c r="K112" s="3">
        <f>F112*G112</f>
        <v>0</v>
      </c>
      <c r="L112">
        <f>G112*C112</f>
        <v>0</v>
      </c>
    </row>
    <row r="113" spans="1:12">
      <c r="A113" s="6" t="s">
        <v>0</v>
      </c>
      <c r="B113" s="9" t="s">
        <v>82</v>
      </c>
      <c r="C113" s="1">
        <v>2.2999999999999998</v>
      </c>
      <c r="D113" s="1">
        <v>11</v>
      </c>
      <c r="E113" s="2" t="s">
        <v>2</v>
      </c>
      <c r="F113" s="4">
        <v>4500</v>
      </c>
      <c r="G113">
        <v>0</v>
      </c>
      <c r="H113">
        <f>IF(A113="G",1,0)*G113</f>
        <v>0</v>
      </c>
      <c r="I113">
        <f>IF(A113="F",1,0)*G113</f>
        <v>0</v>
      </c>
      <c r="J113" s="7">
        <f>F113/C113</f>
        <v>1956.521739130435</v>
      </c>
      <c r="K113" s="3">
        <f>F113*G113</f>
        <v>0</v>
      </c>
      <c r="L113">
        <f>G113*C113</f>
        <v>0</v>
      </c>
    </row>
    <row r="114" spans="1:12">
      <c r="A114" s="6" t="s">
        <v>3</v>
      </c>
      <c r="B114" s="9" t="s">
        <v>124</v>
      </c>
      <c r="C114" s="1">
        <v>2.2000000000000002</v>
      </c>
      <c r="D114" s="1">
        <v>14</v>
      </c>
      <c r="E114" s="1" t="s">
        <v>12</v>
      </c>
      <c r="F114" s="4">
        <v>4500</v>
      </c>
      <c r="G114">
        <v>0</v>
      </c>
      <c r="H114">
        <f>IF(A114="G",1,0)*G114</f>
        <v>0</v>
      </c>
      <c r="I114">
        <f>IF(A114="F",1,0)*G114</f>
        <v>0</v>
      </c>
      <c r="J114" s="7">
        <f>F114/C114</f>
        <v>2045.4545454545453</v>
      </c>
      <c r="K114" s="3">
        <f>F114*G114</f>
        <v>0</v>
      </c>
      <c r="L114">
        <f>G114*C114</f>
        <v>0</v>
      </c>
    </row>
    <row r="115" spans="1:12">
      <c r="A115" s="6" t="s">
        <v>3</v>
      </c>
      <c r="B115" s="9" t="s">
        <v>128</v>
      </c>
      <c r="C115" s="1">
        <v>2.2000000000000002</v>
      </c>
      <c r="D115" s="1">
        <v>12</v>
      </c>
      <c r="E115" s="1" t="s">
        <v>12</v>
      </c>
      <c r="F115" s="4">
        <v>4500</v>
      </c>
      <c r="G115">
        <v>0</v>
      </c>
      <c r="H115">
        <f>IF(A115="G",1,0)*G115</f>
        <v>0</v>
      </c>
      <c r="I115">
        <f>IF(A115="F",1,0)*G115</f>
        <v>0</v>
      </c>
      <c r="J115" s="7">
        <f>F115/C115</f>
        <v>2045.4545454545453</v>
      </c>
      <c r="K115" s="3">
        <f>F115*G115</f>
        <v>0</v>
      </c>
      <c r="L115">
        <f>G115*C115</f>
        <v>0</v>
      </c>
    </row>
    <row r="116" spans="1:12">
      <c r="A116" s="6" t="s">
        <v>0</v>
      </c>
      <c r="B116" s="9" t="s">
        <v>105</v>
      </c>
      <c r="C116" s="1">
        <v>1.8</v>
      </c>
      <c r="D116" s="1">
        <v>5</v>
      </c>
      <c r="E116" s="2" t="s">
        <v>14</v>
      </c>
      <c r="F116" s="4">
        <v>4500</v>
      </c>
      <c r="G116">
        <v>0</v>
      </c>
      <c r="H116">
        <f>IF(A116="G",1,0)*G116</f>
        <v>0</v>
      </c>
      <c r="I116">
        <f>IF(A116="F",1,0)*G116</f>
        <v>0</v>
      </c>
      <c r="J116" s="7">
        <f>F116/C116</f>
        <v>2500</v>
      </c>
      <c r="K116" s="3">
        <f>F116*G116</f>
        <v>0</v>
      </c>
      <c r="L116">
        <f>G116*C116</f>
        <v>0</v>
      </c>
    </row>
    <row r="117" spans="1:12">
      <c r="A117" s="6" t="s">
        <v>3</v>
      </c>
      <c r="B117" s="9" t="s">
        <v>113</v>
      </c>
      <c r="C117" s="1">
        <v>1.8</v>
      </c>
      <c r="D117" s="1">
        <v>4</v>
      </c>
      <c r="E117" s="1" t="s">
        <v>21</v>
      </c>
      <c r="F117" s="4">
        <v>4500</v>
      </c>
      <c r="G117">
        <v>0</v>
      </c>
      <c r="H117">
        <f>IF(A117="G",1,0)*G117</f>
        <v>0</v>
      </c>
      <c r="I117">
        <f>IF(A117="F",1,0)*G117</f>
        <v>0</v>
      </c>
      <c r="J117" s="7">
        <f>F117/C117</f>
        <v>2500</v>
      </c>
      <c r="K117" s="3">
        <f>F117*G117</f>
        <v>0</v>
      </c>
      <c r="L117">
        <f>G117*C117</f>
        <v>0</v>
      </c>
    </row>
    <row r="118" spans="1:12">
      <c r="A118" s="6" t="s">
        <v>0</v>
      </c>
      <c r="B118" s="9" t="s">
        <v>146</v>
      </c>
      <c r="C118" s="1">
        <v>1.7</v>
      </c>
      <c r="D118" s="1">
        <v>5</v>
      </c>
      <c r="E118" s="2" t="s">
        <v>17</v>
      </c>
      <c r="F118" s="4">
        <v>4500</v>
      </c>
      <c r="G118">
        <v>0</v>
      </c>
      <c r="H118">
        <f>IF(A118="G",1,0)*G118</f>
        <v>0</v>
      </c>
      <c r="I118">
        <f>IF(A118="F",1,0)*G118</f>
        <v>0</v>
      </c>
      <c r="J118" s="7">
        <f>F118/C118</f>
        <v>2647.0588235294117</v>
      </c>
      <c r="K118" s="3">
        <f>F118*G118</f>
        <v>0</v>
      </c>
      <c r="L118">
        <f>G118*C118</f>
        <v>0</v>
      </c>
    </row>
    <row r="119" spans="1:12">
      <c r="A119" s="6" t="s">
        <v>3</v>
      </c>
      <c r="B119" s="9" t="s">
        <v>86</v>
      </c>
      <c r="C119" s="1">
        <v>1.6</v>
      </c>
      <c r="D119" s="1">
        <v>6</v>
      </c>
      <c r="E119" s="2" t="s">
        <v>24</v>
      </c>
      <c r="F119" s="4">
        <v>4500</v>
      </c>
      <c r="G119">
        <v>0</v>
      </c>
      <c r="H119">
        <f>IF(A119="G",1,0)*G119</f>
        <v>0</v>
      </c>
      <c r="I119">
        <f>IF(A119="F",1,0)*G119</f>
        <v>0</v>
      </c>
      <c r="J119" s="7">
        <f>F119/C119</f>
        <v>2812.5</v>
      </c>
      <c r="K119" s="3">
        <f>F119*G119</f>
        <v>0</v>
      </c>
      <c r="L119">
        <f>G119*C119</f>
        <v>0</v>
      </c>
    </row>
    <row r="120" spans="1:12">
      <c r="A120" s="6" t="s">
        <v>3</v>
      </c>
      <c r="B120" s="9" t="s">
        <v>92</v>
      </c>
      <c r="C120" s="1">
        <v>1.6</v>
      </c>
      <c r="D120" s="1">
        <v>3</v>
      </c>
      <c r="E120" s="1" t="s">
        <v>21</v>
      </c>
      <c r="F120" s="4">
        <v>4500</v>
      </c>
      <c r="G120">
        <v>0</v>
      </c>
      <c r="H120">
        <f>IF(A120="G",1,0)*G120</f>
        <v>0</v>
      </c>
      <c r="I120">
        <f>IF(A120="F",1,0)*G120</f>
        <v>0</v>
      </c>
      <c r="J120" s="7">
        <f>F120/C120</f>
        <v>2812.5</v>
      </c>
      <c r="K120" s="3">
        <f>F120*G120</f>
        <v>0</v>
      </c>
      <c r="L120">
        <f>G120*C120</f>
        <v>0</v>
      </c>
    </row>
    <row r="121" spans="1:12">
      <c r="A121" s="6" t="s">
        <v>0</v>
      </c>
      <c r="B121" s="9" t="s">
        <v>138</v>
      </c>
      <c r="C121" s="1">
        <v>1.5</v>
      </c>
      <c r="D121" s="1">
        <v>3</v>
      </c>
      <c r="E121" s="1" t="s">
        <v>21</v>
      </c>
      <c r="F121" s="4">
        <v>4500</v>
      </c>
      <c r="G121">
        <v>0</v>
      </c>
      <c r="H121">
        <f>IF(A121="G",1,0)*G121</f>
        <v>0</v>
      </c>
      <c r="I121">
        <f>IF(A121="F",1,0)*G121</f>
        <v>0</v>
      </c>
      <c r="J121" s="7">
        <f>F121/C121</f>
        <v>3000</v>
      </c>
      <c r="K121" s="3">
        <f>F121*G121</f>
        <v>0</v>
      </c>
      <c r="L121">
        <f>G121*C121</f>
        <v>0</v>
      </c>
    </row>
    <row r="122" spans="1:12">
      <c r="A122" s="6" t="s">
        <v>3</v>
      </c>
      <c r="B122" s="9" t="s">
        <v>88</v>
      </c>
      <c r="C122" s="1">
        <v>1.4</v>
      </c>
      <c r="D122" s="1">
        <v>6</v>
      </c>
      <c r="E122" s="2" t="s">
        <v>5</v>
      </c>
      <c r="F122" s="4">
        <v>4500</v>
      </c>
      <c r="G122">
        <v>0</v>
      </c>
      <c r="H122">
        <f>IF(A122="G",1,0)*G122</f>
        <v>0</v>
      </c>
      <c r="I122">
        <f>IF(A122="F",1,0)*G122</f>
        <v>0</v>
      </c>
      <c r="J122" s="7">
        <f>F122/C122</f>
        <v>3214.2857142857147</v>
      </c>
      <c r="K122" s="3">
        <f>F122*G122</f>
        <v>0</v>
      </c>
      <c r="L122">
        <f>G122*C122</f>
        <v>0</v>
      </c>
    </row>
    <row r="123" spans="1:12">
      <c r="A123" s="6" t="s">
        <v>0</v>
      </c>
      <c r="B123" s="9" t="s">
        <v>121</v>
      </c>
      <c r="C123" s="1">
        <v>1.4</v>
      </c>
      <c r="D123" s="1">
        <v>5</v>
      </c>
      <c r="E123" s="1" t="s">
        <v>10</v>
      </c>
      <c r="F123" s="4">
        <v>4500</v>
      </c>
      <c r="G123">
        <v>0</v>
      </c>
      <c r="H123">
        <f>IF(A123="G",1,0)*G123</f>
        <v>0</v>
      </c>
      <c r="I123">
        <f>IF(A123="F",1,0)*G123</f>
        <v>0</v>
      </c>
      <c r="J123" s="7">
        <f>F123/C123</f>
        <v>3214.2857142857147</v>
      </c>
      <c r="K123" s="3">
        <f>F123*G123</f>
        <v>0</v>
      </c>
      <c r="L123">
        <f>G123*C123</f>
        <v>0</v>
      </c>
    </row>
    <row r="124" spans="1:12">
      <c r="A124" s="6" t="s">
        <v>0</v>
      </c>
      <c r="B124" s="9" t="s">
        <v>132</v>
      </c>
      <c r="C124" s="1">
        <v>1.4</v>
      </c>
      <c r="D124" s="1">
        <v>6</v>
      </c>
      <c r="E124" s="1" t="s">
        <v>41</v>
      </c>
      <c r="F124" s="4">
        <v>4500</v>
      </c>
      <c r="G124">
        <v>0</v>
      </c>
      <c r="H124">
        <f>IF(A124="G",1,0)*G124</f>
        <v>0</v>
      </c>
      <c r="I124">
        <f>IF(A124="F",1,0)*G124</f>
        <v>0</v>
      </c>
      <c r="J124" s="7">
        <f>F124/C124</f>
        <v>3214.2857142857147</v>
      </c>
      <c r="K124" s="3">
        <f>F124*G124</f>
        <v>0</v>
      </c>
      <c r="L124">
        <f>G124*C124</f>
        <v>0</v>
      </c>
    </row>
    <row r="125" spans="1:12">
      <c r="A125" s="6" t="s">
        <v>0</v>
      </c>
      <c r="B125" s="9" t="s">
        <v>95</v>
      </c>
      <c r="C125" s="1">
        <v>1.3</v>
      </c>
      <c r="D125" s="1">
        <v>7</v>
      </c>
      <c r="E125" s="1" t="s">
        <v>12</v>
      </c>
      <c r="F125" s="4">
        <v>4500</v>
      </c>
      <c r="G125">
        <v>0</v>
      </c>
      <c r="H125">
        <f>IF(A125="G",1,0)*G125</f>
        <v>0</v>
      </c>
      <c r="I125">
        <f>IF(A125="F",1,0)*G125</f>
        <v>0</v>
      </c>
      <c r="J125" s="7">
        <f>F125/C125</f>
        <v>3461.5384615384614</v>
      </c>
      <c r="K125" s="3">
        <f>F125*G125</f>
        <v>0</v>
      </c>
      <c r="L125">
        <f>G125*C125</f>
        <v>0</v>
      </c>
    </row>
    <row r="126" spans="1:12">
      <c r="A126" s="6" t="s">
        <v>0</v>
      </c>
      <c r="B126" s="9" t="s">
        <v>107</v>
      </c>
      <c r="C126" s="1">
        <v>1.3</v>
      </c>
      <c r="D126" s="1">
        <v>21</v>
      </c>
      <c r="E126" s="1" t="s">
        <v>12</v>
      </c>
      <c r="F126" s="4">
        <v>4500</v>
      </c>
      <c r="G126">
        <v>0</v>
      </c>
      <c r="H126">
        <f>IF(A126="G",1,0)*G126</f>
        <v>0</v>
      </c>
      <c r="I126">
        <f>IF(A126="F",1,0)*G126</f>
        <v>0</v>
      </c>
      <c r="J126" s="7">
        <f>F126/C126</f>
        <v>3461.5384615384614</v>
      </c>
      <c r="K126" s="3">
        <f>F126*G126</f>
        <v>0</v>
      </c>
      <c r="L126">
        <f>G126*C126</f>
        <v>0</v>
      </c>
    </row>
    <row r="127" spans="1:12">
      <c r="A127" s="6" t="s">
        <v>3</v>
      </c>
      <c r="B127" s="9" t="s">
        <v>151</v>
      </c>
      <c r="C127" s="1">
        <v>1.3</v>
      </c>
      <c r="D127" s="1">
        <v>8</v>
      </c>
      <c r="E127" s="2" t="s">
        <v>14</v>
      </c>
      <c r="F127" s="4">
        <v>4500</v>
      </c>
      <c r="G127">
        <v>0</v>
      </c>
      <c r="H127">
        <f>IF(A127="G",1,0)*G127</f>
        <v>0</v>
      </c>
      <c r="I127">
        <f>IF(A127="F",1,0)*G127</f>
        <v>0</v>
      </c>
      <c r="J127" s="7">
        <f>F127/C127</f>
        <v>3461.5384615384614</v>
      </c>
      <c r="K127" s="3">
        <f>F127*G127</f>
        <v>0</v>
      </c>
      <c r="L127">
        <f>G127*C127</f>
        <v>0</v>
      </c>
    </row>
    <row r="128" spans="1:12">
      <c r="A128" s="6" t="s">
        <v>0</v>
      </c>
      <c r="B128" s="9" t="s">
        <v>129</v>
      </c>
      <c r="C128" s="1">
        <v>1.2</v>
      </c>
      <c r="D128" s="1">
        <v>5</v>
      </c>
      <c r="E128" s="2" t="s">
        <v>17</v>
      </c>
      <c r="F128" s="4">
        <v>4500</v>
      </c>
      <c r="G128">
        <v>0</v>
      </c>
      <c r="H128">
        <f>IF(A128="G",1,0)*G128</f>
        <v>0</v>
      </c>
      <c r="I128">
        <f>IF(A128="F",1,0)*G128</f>
        <v>0</v>
      </c>
      <c r="J128" s="7">
        <f>F128/C128</f>
        <v>3750</v>
      </c>
      <c r="K128" s="3">
        <f>F128*G128</f>
        <v>0</v>
      </c>
      <c r="L128">
        <f>G128*C128</f>
        <v>0</v>
      </c>
    </row>
    <row r="129" spans="1:12">
      <c r="A129" s="6" t="s">
        <v>0</v>
      </c>
      <c r="B129" s="9" t="s">
        <v>152</v>
      </c>
      <c r="C129" s="1">
        <v>1.2</v>
      </c>
      <c r="D129" s="1">
        <v>7</v>
      </c>
      <c r="E129" s="2" t="s">
        <v>17</v>
      </c>
      <c r="F129" s="4">
        <v>4500</v>
      </c>
      <c r="G129">
        <v>0</v>
      </c>
      <c r="H129">
        <f>IF(A129="G",1,0)*G129</f>
        <v>0</v>
      </c>
      <c r="I129">
        <f>IF(A129="F",1,0)*G129</f>
        <v>0</v>
      </c>
      <c r="J129" s="7">
        <f>F129/C129</f>
        <v>3750</v>
      </c>
      <c r="K129" s="3">
        <f>F129*G129</f>
        <v>0</v>
      </c>
      <c r="L129">
        <f>G129*C129</f>
        <v>0</v>
      </c>
    </row>
    <row r="130" spans="1:12">
      <c r="A130" s="6" t="s">
        <v>3</v>
      </c>
      <c r="B130" s="9" t="s">
        <v>102</v>
      </c>
      <c r="C130" s="1">
        <v>1.1000000000000001</v>
      </c>
      <c r="D130" s="1">
        <v>6</v>
      </c>
      <c r="E130" s="1" t="s">
        <v>12</v>
      </c>
      <c r="F130" s="4">
        <v>4500</v>
      </c>
      <c r="G130">
        <v>0</v>
      </c>
      <c r="H130">
        <f>IF(A130="G",1,0)*G130</f>
        <v>0</v>
      </c>
      <c r="I130">
        <f>IF(A130="F",1,0)*G130</f>
        <v>0</v>
      </c>
      <c r="J130" s="7">
        <f>F130/C130</f>
        <v>4090.9090909090905</v>
      </c>
      <c r="K130" s="3">
        <f>F130*G130</f>
        <v>0</v>
      </c>
      <c r="L130">
        <f>G130*C130</f>
        <v>0</v>
      </c>
    </row>
    <row r="131" spans="1:12">
      <c r="A131" s="6" t="s">
        <v>0</v>
      </c>
      <c r="B131" s="9" t="s">
        <v>125</v>
      </c>
      <c r="C131" s="1">
        <v>1.1000000000000001</v>
      </c>
      <c r="D131" s="1">
        <v>6</v>
      </c>
      <c r="E131" s="1" t="s">
        <v>41</v>
      </c>
      <c r="F131" s="4">
        <v>4500</v>
      </c>
      <c r="G131">
        <v>0</v>
      </c>
      <c r="H131">
        <f>IF(A131="G",1,0)*G131</f>
        <v>0</v>
      </c>
      <c r="I131">
        <f>IF(A131="F",1,0)*G131</f>
        <v>0</v>
      </c>
      <c r="J131" s="7">
        <f>F131/C131</f>
        <v>4090.9090909090905</v>
      </c>
      <c r="K131" s="3">
        <f>F131*G131</f>
        <v>0</v>
      </c>
      <c r="L131">
        <f>G131*C131</f>
        <v>0</v>
      </c>
    </row>
    <row r="132" spans="1:12">
      <c r="A132" s="6" t="s">
        <v>3</v>
      </c>
      <c r="B132" s="9" t="s">
        <v>115</v>
      </c>
      <c r="C132" s="1">
        <v>1</v>
      </c>
      <c r="D132" s="1">
        <v>7</v>
      </c>
      <c r="E132" s="2" t="s">
        <v>14</v>
      </c>
      <c r="F132" s="4">
        <v>4500</v>
      </c>
      <c r="G132">
        <v>0</v>
      </c>
      <c r="H132">
        <f>IF(A132="G",1,0)*G132</f>
        <v>0</v>
      </c>
      <c r="I132">
        <f>IF(A132="F",1,0)*G132</f>
        <v>0</v>
      </c>
      <c r="J132" s="7">
        <f>F132/C132</f>
        <v>4500</v>
      </c>
      <c r="K132" s="3">
        <f>F132*G132</f>
        <v>0</v>
      </c>
      <c r="L132">
        <f>G132*C132</f>
        <v>0</v>
      </c>
    </row>
    <row r="133" spans="1:12">
      <c r="A133" s="6" t="s">
        <v>0</v>
      </c>
      <c r="B133" s="9" t="s">
        <v>123</v>
      </c>
      <c r="C133" s="1">
        <v>1</v>
      </c>
      <c r="D133" s="1">
        <v>3</v>
      </c>
      <c r="E133" s="2" t="s">
        <v>5</v>
      </c>
      <c r="F133" s="4">
        <v>4500</v>
      </c>
      <c r="G133">
        <v>0</v>
      </c>
      <c r="H133">
        <f>IF(A133="G",1,0)*G133</f>
        <v>0</v>
      </c>
      <c r="I133">
        <f>IF(A133="F",1,0)*G133</f>
        <v>0</v>
      </c>
      <c r="J133" s="7">
        <f>F133/C133</f>
        <v>4500</v>
      </c>
      <c r="K133" s="3">
        <f>F133*G133</f>
        <v>0</v>
      </c>
      <c r="L133">
        <f>G133*C133</f>
        <v>0</v>
      </c>
    </row>
    <row r="134" spans="1:12">
      <c r="A134" s="6" t="s">
        <v>0</v>
      </c>
      <c r="B134" s="9" t="s">
        <v>153</v>
      </c>
      <c r="C134" s="1">
        <v>1</v>
      </c>
      <c r="D134" s="1">
        <v>4</v>
      </c>
      <c r="E134" s="2" t="s">
        <v>14</v>
      </c>
      <c r="F134" s="4">
        <v>4500</v>
      </c>
      <c r="G134">
        <v>0</v>
      </c>
      <c r="H134">
        <f>IF(A134="G",1,0)*G134</f>
        <v>0</v>
      </c>
      <c r="I134">
        <f>IF(A134="F",1,0)*G134</f>
        <v>0</v>
      </c>
      <c r="J134" s="7">
        <f>F134/C134</f>
        <v>4500</v>
      </c>
      <c r="K134" s="3">
        <f>F134*G134</f>
        <v>0</v>
      </c>
      <c r="L134">
        <f>G134*C134</f>
        <v>0</v>
      </c>
    </row>
    <row r="135" spans="1:12">
      <c r="A135" s="6" t="s">
        <v>0</v>
      </c>
      <c r="B135" s="9" t="s">
        <v>120</v>
      </c>
      <c r="C135" s="1">
        <v>0.9</v>
      </c>
      <c r="D135" s="1">
        <v>6</v>
      </c>
      <c r="E135" s="1" t="s">
        <v>8</v>
      </c>
      <c r="F135" s="4">
        <v>4500</v>
      </c>
      <c r="G135">
        <v>0</v>
      </c>
      <c r="H135">
        <f>IF(A135="G",1,0)*G135</f>
        <v>0</v>
      </c>
      <c r="I135">
        <f>IF(A135="F",1,0)*G135</f>
        <v>0</v>
      </c>
      <c r="J135" s="7">
        <f>F135/C135</f>
        <v>5000</v>
      </c>
      <c r="K135" s="3">
        <f>F135*G135</f>
        <v>0</v>
      </c>
      <c r="L135">
        <f>G135*C135</f>
        <v>0</v>
      </c>
    </row>
    <row r="136" spans="1:12">
      <c r="A136" s="6" t="s">
        <v>0</v>
      </c>
      <c r="B136" s="9" t="s">
        <v>80</v>
      </c>
      <c r="C136" s="1">
        <v>0.8</v>
      </c>
      <c r="D136" s="1">
        <v>4</v>
      </c>
      <c r="E136" s="1" t="s">
        <v>10</v>
      </c>
      <c r="F136" s="4">
        <v>4500</v>
      </c>
      <c r="G136">
        <v>0</v>
      </c>
      <c r="H136">
        <f>IF(A136="G",1,0)*G136</f>
        <v>0</v>
      </c>
      <c r="I136">
        <f>IF(A136="F",1,0)*G136</f>
        <v>0</v>
      </c>
      <c r="J136" s="7">
        <f>F136/C136</f>
        <v>5625</v>
      </c>
      <c r="K136" s="3">
        <f>F136*G136</f>
        <v>0</v>
      </c>
      <c r="L136">
        <f>G136*C136</f>
        <v>0</v>
      </c>
    </row>
    <row r="137" spans="1:12">
      <c r="A137" s="6" t="s">
        <v>0</v>
      </c>
      <c r="B137" s="9" t="s">
        <v>126</v>
      </c>
      <c r="C137" s="1">
        <v>0.8</v>
      </c>
      <c r="D137" s="1">
        <v>4</v>
      </c>
      <c r="E137" s="2" t="s">
        <v>14</v>
      </c>
      <c r="F137" s="4">
        <v>4500</v>
      </c>
      <c r="G137">
        <v>0</v>
      </c>
      <c r="H137">
        <f>IF(A137="G",1,0)*G137</f>
        <v>0</v>
      </c>
      <c r="I137">
        <f>IF(A137="F",1,0)*G137</f>
        <v>0</v>
      </c>
      <c r="J137" s="7">
        <f>F137/C137</f>
        <v>5625</v>
      </c>
      <c r="K137" s="3">
        <f>F137*G137</f>
        <v>0</v>
      </c>
      <c r="L137">
        <f>G137*C137</f>
        <v>0</v>
      </c>
    </row>
    <row r="138" spans="1:12">
      <c r="A138" s="6" t="s">
        <v>3</v>
      </c>
      <c r="B138" s="9" t="s">
        <v>119</v>
      </c>
      <c r="C138" s="1">
        <v>0.7</v>
      </c>
      <c r="D138" s="1">
        <v>3</v>
      </c>
      <c r="E138" s="2" t="s">
        <v>5</v>
      </c>
      <c r="F138" s="4">
        <v>4500</v>
      </c>
      <c r="G138">
        <v>0</v>
      </c>
      <c r="H138">
        <f>IF(A138="G",1,0)*G138</f>
        <v>0</v>
      </c>
      <c r="I138">
        <f>IF(A138="F",1,0)*G138</f>
        <v>0</v>
      </c>
      <c r="J138" s="7">
        <f>F138/C138</f>
        <v>6428.5714285714294</v>
      </c>
      <c r="K138" s="3">
        <f>F138*G138</f>
        <v>0</v>
      </c>
      <c r="L138">
        <f>G138*C138</f>
        <v>0</v>
      </c>
    </row>
    <row r="139" spans="1:12">
      <c r="A139" s="6" t="s">
        <v>3</v>
      </c>
      <c r="B139" s="9" t="s">
        <v>90</v>
      </c>
      <c r="C139" s="1">
        <v>0.6</v>
      </c>
      <c r="D139" s="1">
        <v>2</v>
      </c>
      <c r="E139" s="2" t="s">
        <v>17</v>
      </c>
      <c r="F139" s="4">
        <v>4500</v>
      </c>
      <c r="G139">
        <v>0</v>
      </c>
      <c r="H139">
        <f>IF(A139="G",1,0)*G139</f>
        <v>0</v>
      </c>
      <c r="I139">
        <f>IF(A139="F",1,0)*G139</f>
        <v>0</v>
      </c>
      <c r="J139" s="7">
        <f>F139/C139</f>
        <v>7500</v>
      </c>
      <c r="K139" s="3">
        <f>F139*G139</f>
        <v>0</v>
      </c>
      <c r="L139">
        <f>G139*C139</f>
        <v>0</v>
      </c>
    </row>
    <row r="140" spans="1:12">
      <c r="A140" s="6" t="s">
        <v>3</v>
      </c>
      <c r="B140" s="9" t="s">
        <v>100</v>
      </c>
      <c r="C140" s="1">
        <v>0.6</v>
      </c>
      <c r="D140" s="1">
        <v>11</v>
      </c>
      <c r="E140" s="2" t="s">
        <v>2</v>
      </c>
      <c r="F140" s="4">
        <v>4500</v>
      </c>
      <c r="G140">
        <v>0</v>
      </c>
      <c r="H140">
        <f>IF(A140="G",1,0)*G140</f>
        <v>0</v>
      </c>
      <c r="I140">
        <f>IF(A140="F",1,0)*G140</f>
        <v>0</v>
      </c>
      <c r="J140" s="7">
        <f>F140/C140</f>
        <v>7500</v>
      </c>
      <c r="K140" s="3">
        <f>F140*G140</f>
        <v>0</v>
      </c>
      <c r="L140">
        <f>G140*C140</f>
        <v>0</v>
      </c>
    </row>
    <row r="141" spans="1:12">
      <c r="A141" s="6" t="s">
        <v>0</v>
      </c>
      <c r="B141" s="9" t="s">
        <v>127</v>
      </c>
      <c r="C141" s="1">
        <v>0.6</v>
      </c>
      <c r="D141" s="1">
        <v>7</v>
      </c>
      <c r="E141" s="1" t="s">
        <v>12</v>
      </c>
      <c r="F141" s="4">
        <v>4500</v>
      </c>
      <c r="G141">
        <v>0</v>
      </c>
      <c r="H141">
        <f>IF(A141="G",1,0)*G141</f>
        <v>0</v>
      </c>
      <c r="I141">
        <f>IF(A141="F",1,0)*G141</f>
        <v>0</v>
      </c>
      <c r="J141" s="7">
        <f>F141/C141</f>
        <v>7500</v>
      </c>
      <c r="K141" s="3">
        <f>F141*G141</f>
        <v>0</v>
      </c>
      <c r="L141">
        <f>G141*C141</f>
        <v>0</v>
      </c>
    </row>
    <row r="142" spans="1:12">
      <c r="A142" s="6" t="s">
        <v>3</v>
      </c>
      <c r="B142" s="9" t="s">
        <v>140</v>
      </c>
      <c r="C142" s="1">
        <v>0.6</v>
      </c>
      <c r="D142" s="1">
        <v>6</v>
      </c>
      <c r="E142" s="1" t="s">
        <v>10</v>
      </c>
      <c r="F142" s="4">
        <v>4500</v>
      </c>
      <c r="G142">
        <v>0</v>
      </c>
      <c r="H142">
        <f>IF(A142="G",1,0)*G142</f>
        <v>0</v>
      </c>
      <c r="I142">
        <f>IF(A142="F",1,0)*G142</f>
        <v>0</v>
      </c>
      <c r="J142" s="7">
        <f>F142/C142</f>
        <v>7500</v>
      </c>
      <c r="K142" s="3">
        <f>F142*G142</f>
        <v>0</v>
      </c>
      <c r="L142">
        <f>G142*C142</f>
        <v>0</v>
      </c>
    </row>
    <row r="143" spans="1:12">
      <c r="A143" s="6" t="s">
        <v>0</v>
      </c>
      <c r="B143" s="9" t="s">
        <v>145</v>
      </c>
      <c r="C143" s="1">
        <v>0.5</v>
      </c>
      <c r="D143" s="1">
        <v>7</v>
      </c>
      <c r="E143" s="1" t="s">
        <v>8</v>
      </c>
      <c r="F143" s="4">
        <v>4500</v>
      </c>
      <c r="G143">
        <v>0</v>
      </c>
      <c r="H143">
        <f>IF(A143="G",1,0)*G143</f>
        <v>0</v>
      </c>
      <c r="I143">
        <f>IF(A143="F",1,0)*G143</f>
        <v>0</v>
      </c>
      <c r="J143" s="7">
        <f>F143/C143</f>
        <v>9000</v>
      </c>
      <c r="K143" s="3">
        <f>F143*G143</f>
        <v>0</v>
      </c>
      <c r="L143">
        <f>G143*C143</f>
        <v>0</v>
      </c>
    </row>
    <row r="144" spans="1:12">
      <c r="A144" s="6" t="s">
        <v>0</v>
      </c>
      <c r="B144" s="9" t="s">
        <v>154</v>
      </c>
      <c r="C144" s="1">
        <v>3</v>
      </c>
      <c r="D144" s="1">
        <v>1</v>
      </c>
      <c r="E144" s="1" t="s">
        <v>21</v>
      </c>
      <c r="F144" s="4">
        <v>3000</v>
      </c>
      <c r="G144">
        <v>0</v>
      </c>
      <c r="H144">
        <f>IF(A144="G",1,0)*G144</f>
        <v>0</v>
      </c>
      <c r="I144">
        <f>IF(A144="F",1,0)*G144</f>
        <v>0</v>
      </c>
      <c r="J144" s="7">
        <f>F144/C144</f>
        <v>1000</v>
      </c>
      <c r="K144" s="3">
        <f>F144*G144</f>
        <v>0</v>
      </c>
      <c r="L144">
        <f>G144*C144</f>
        <v>0</v>
      </c>
    </row>
  </sheetData>
  <sortState ref="A2:L144">
    <sortCondition descending="1" ref="F2:F144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23" sqref="G23"/>
    </sheetView>
  </sheetViews>
  <sheetFormatPr baseColWidth="10" defaultRowHeight="15" x14ac:dyDescent="0"/>
  <sheetData>
    <row r="1" spans="1:2">
      <c r="A1" t="s">
        <v>170</v>
      </c>
      <c r="B1" t="s">
        <v>156</v>
      </c>
    </row>
    <row r="2" spans="1:2">
      <c r="A2" t="s">
        <v>169</v>
      </c>
      <c r="B2">
        <v>1</v>
      </c>
    </row>
    <row r="3" spans="1:2">
      <c r="A3" t="s">
        <v>173</v>
      </c>
      <c r="B3">
        <v>1.2</v>
      </c>
    </row>
    <row r="4" spans="1:2">
      <c r="A4" t="s">
        <v>174</v>
      </c>
      <c r="B4">
        <v>1.5</v>
      </c>
    </row>
    <row r="5" spans="1:2">
      <c r="A5" t="s">
        <v>175</v>
      </c>
      <c r="B5">
        <v>2</v>
      </c>
    </row>
    <row r="6" spans="1:2">
      <c r="A6" t="s">
        <v>171</v>
      </c>
      <c r="B6">
        <v>2</v>
      </c>
    </row>
    <row r="7" spans="1:2">
      <c r="A7" t="s">
        <v>172</v>
      </c>
      <c r="B7">
        <v>-1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data_1_7_14</vt:lpstr>
      <vt:lpstr>data_1_6_14</vt:lpstr>
      <vt:lpstr>data_1_5_14</vt:lpstr>
      <vt:lpstr>rules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Green</dc:creator>
  <cp:lastModifiedBy>Jesse Green</cp:lastModifiedBy>
  <dcterms:created xsi:type="dcterms:W3CDTF">2015-01-05T15:00:31Z</dcterms:created>
  <dcterms:modified xsi:type="dcterms:W3CDTF">2015-01-07T23:22:04Z</dcterms:modified>
</cp:coreProperties>
</file>