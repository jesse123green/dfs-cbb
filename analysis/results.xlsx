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hidePivotFieldList="1" autoCompressPictures="0"/>
  <bookViews>
    <workbookView xWindow="460" yWindow="0" windowWidth="23920" windowHeight="13860" tabRatio="500" activeTab="2"/>
  </bookViews>
  <sheets>
    <sheet name="Sheet1" sheetId="1" r:id="rId1"/>
    <sheet name="Sheet5" sheetId="5" r:id="rId2"/>
    <sheet name="Sheet4" sheetId="4" r:id="rId3"/>
  </sheets>
  <calcPr calcId="140000" concurrentCalc="0"/>
  <pivotCaches>
    <pivotCache cacheId="32" r:id="rId4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4" l="1"/>
  <c r="J3" i="4"/>
  <c r="W2" i="5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2" i="4"/>
  <c r="F263" i="4"/>
  <c r="F264" i="4"/>
  <c r="F261" i="4"/>
  <c r="W18" i="5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2" i="4"/>
  <c r="F233" i="4"/>
  <c r="F234" i="4"/>
  <c r="F235" i="4"/>
  <c r="F236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79" i="4"/>
  <c r="F180" i="4"/>
  <c r="F178" i="4"/>
  <c r="F177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55" i="4"/>
  <c r="F154" i="4"/>
  <c r="F153" i="4"/>
  <c r="F152" i="4"/>
  <c r="F151" i="4"/>
  <c r="F150" i="4"/>
  <c r="F149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28" i="4"/>
  <c r="F127" i="4"/>
  <c r="F117" i="4"/>
  <c r="F118" i="4"/>
  <c r="F119" i="4"/>
  <c r="F120" i="4"/>
  <c r="F121" i="4"/>
  <c r="F122" i="4"/>
  <c r="F123" i="4"/>
  <c r="F124" i="4"/>
  <c r="F125" i="4"/>
  <c r="F126" i="4"/>
  <c r="F113" i="4"/>
  <c r="F114" i="4"/>
  <c r="F115" i="4"/>
  <c r="F116" i="4"/>
  <c r="F112" i="4"/>
  <c r="F111" i="4"/>
  <c r="F110" i="4"/>
  <c r="F109" i="4"/>
  <c r="F108" i="4"/>
  <c r="F107" i="4"/>
  <c r="W17" i="5"/>
  <c r="F106" i="4"/>
  <c r="F103" i="4"/>
  <c r="F104" i="4"/>
  <c r="F105" i="4"/>
  <c r="F102" i="4"/>
  <c r="F101" i="4"/>
  <c r="F100" i="4"/>
  <c r="F99" i="4"/>
  <c r="F98" i="4"/>
  <c r="F97" i="4"/>
  <c r="F93" i="4"/>
  <c r="F94" i="4"/>
  <c r="F95" i="4"/>
  <c r="F96" i="4"/>
  <c r="F92" i="4"/>
  <c r="F91" i="4"/>
  <c r="F90" i="4"/>
  <c r="F89" i="4"/>
  <c r="F88" i="4"/>
  <c r="F87" i="4"/>
  <c r="F86" i="4"/>
  <c r="F85" i="4"/>
  <c r="F84" i="4"/>
  <c r="F83" i="4"/>
  <c r="F82" i="4"/>
  <c r="F78" i="4"/>
  <c r="F79" i="4"/>
  <c r="F80" i="4"/>
  <c r="F81" i="4"/>
  <c r="F77" i="4"/>
  <c r="F75" i="4"/>
  <c r="F76" i="4"/>
  <c r="F73" i="4"/>
  <c r="F74" i="4"/>
  <c r="F72" i="4"/>
  <c r="W5" i="5"/>
  <c r="W6" i="5"/>
  <c r="W7" i="5"/>
  <c r="W8" i="5"/>
  <c r="W9" i="5"/>
  <c r="W10" i="5"/>
  <c r="W11" i="5"/>
  <c r="W12" i="5"/>
  <c r="W13" i="5"/>
  <c r="W14" i="5"/>
  <c r="W15" i="5"/>
  <c r="W16" i="5"/>
  <c r="W4" i="5"/>
  <c r="W3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2" i="4"/>
  <c r="B30" i="1"/>
  <c r="B31" i="1"/>
  <c r="C30" i="1"/>
  <c r="C31" i="1"/>
  <c r="G30" i="1"/>
  <c r="G31" i="1"/>
  <c r="F30" i="1"/>
  <c r="F31" i="1"/>
  <c r="I30" i="1"/>
  <c r="H30" i="1"/>
  <c r="D30" i="1"/>
  <c r="E30" i="1"/>
  <c r="J30" i="1"/>
  <c r="K30" i="1"/>
  <c r="D31" i="1"/>
  <c r="E31" i="1"/>
  <c r="H31" i="1"/>
  <c r="I31" i="1"/>
  <c r="J31" i="1"/>
  <c r="K31" i="1"/>
</calcChain>
</file>

<file path=xl/sharedStrings.xml><?xml version="1.0" encoding="utf-8"?>
<sst xmlns="http://schemas.openxmlformats.org/spreadsheetml/2006/main" count="844" uniqueCount="197">
  <si>
    <t>Date</t>
  </si>
  <si>
    <t>Expected</t>
  </si>
  <si>
    <t>Actual</t>
  </si>
  <si>
    <t>EN - 0 - l2</t>
  </si>
  <si>
    <t>EN - 8 - l2</t>
  </si>
  <si>
    <t>EN - 0 - l1</t>
  </si>
  <si>
    <t>EN - 8 - l1</t>
  </si>
  <si>
    <t>SVR - 8 - l1</t>
  </si>
  <si>
    <t>rounded</t>
  </si>
  <si>
    <t>Row Labels</t>
  </si>
  <si>
    <t>Grand Total</t>
  </si>
  <si>
    <t>Total</t>
  </si>
  <si>
    <t>EN</t>
  </si>
  <si>
    <t>l2</t>
  </si>
  <si>
    <t>model</t>
  </si>
  <si>
    <t>cutoff</t>
  </si>
  <si>
    <t>loss</t>
  </si>
  <si>
    <t>date</t>
  </si>
  <si>
    <t>score</t>
  </si>
  <si>
    <t>l1</t>
  </si>
  <si>
    <t>SVR</t>
  </si>
  <si>
    <t>Count of score</t>
  </si>
  <si>
    <t>fd_id</t>
  </si>
  <si>
    <t>S128556021</t>
  </si>
  <si>
    <t>S128558921</t>
  </si>
  <si>
    <t>S128560946</t>
  </si>
  <si>
    <t>S128562122</t>
  </si>
  <si>
    <t>S128690094</t>
  </si>
  <si>
    <t>S128690900</t>
  </si>
  <si>
    <t>S128691698</t>
  </si>
  <si>
    <t>S128692562</t>
  </si>
  <si>
    <t>S128693346</t>
  </si>
  <si>
    <t>S129181179</t>
  </si>
  <si>
    <t>S129446269</t>
  </si>
  <si>
    <t>S129446700</t>
  </si>
  <si>
    <t>S129447099</t>
  </si>
  <si>
    <t>S129447368</t>
  </si>
  <si>
    <t>S129447712</t>
  </si>
  <si>
    <t>S129999113</t>
  </si>
  <si>
    <t>S130000006</t>
  </si>
  <si>
    <t>S130611118</t>
  </si>
  <si>
    <t>S130611542</t>
  </si>
  <si>
    <t>S130611988</t>
  </si>
  <si>
    <t>S130612327</t>
  </si>
  <si>
    <t>S130612801</t>
  </si>
  <si>
    <t>S131244958</t>
  </si>
  <si>
    <t>S131245950</t>
  </si>
  <si>
    <t>S132293712</t>
  </si>
  <si>
    <t>S132294089</t>
  </si>
  <si>
    <t>S132533642</t>
  </si>
  <si>
    <t>S132535745</t>
  </si>
  <si>
    <t>S132537184</t>
  </si>
  <si>
    <t>S133093188</t>
  </si>
  <si>
    <t>S133094607</t>
  </si>
  <si>
    <t>S133095435</t>
  </si>
  <si>
    <t>S133097181</t>
  </si>
  <si>
    <t>NN</t>
  </si>
  <si>
    <t>S133641750</t>
  </si>
  <si>
    <t>S133642428</t>
  </si>
  <si>
    <t>S133642781</t>
  </si>
  <si>
    <t>S133643274</t>
  </si>
  <si>
    <t>S134270174</t>
  </si>
  <si>
    <t>S134269016</t>
  </si>
  <si>
    <t>S134269582</t>
  </si>
  <si>
    <t>S134271406</t>
  </si>
  <si>
    <t>S134271964</t>
  </si>
  <si>
    <t>S135020132</t>
  </si>
  <si>
    <t>S135020740</t>
  </si>
  <si>
    <t>S135023095</t>
  </si>
  <si>
    <t>S135023734</t>
  </si>
  <si>
    <t>S135326936</t>
  </si>
  <si>
    <t>S135327115</t>
  </si>
  <si>
    <t>S135327370</t>
  </si>
  <si>
    <t>S135633033</t>
  </si>
  <si>
    <t>S135633222</t>
  </si>
  <si>
    <t>S135633562</t>
  </si>
  <si>
    <t>S135642884</t>
  </si>
  <si>
    <t>S135643140</t>
  </si>
  <si>
    <t>S135643352</t>
  </si>
  <si>
    <t>S135643523</t>
  </si>
  <si>
    <t>S135786416</t>
  </si>
  <si>
    <t>S135789672</t>
  </si>
  <si>
    <t>S135789902</t>
  </si>
  <si>
    <t>S135790226</t>
  </si>
  <si>
    <t>S135945102</t>
  </si>
  <si>
    <t>S135945252</t>
  </si>
  <si>
    <t>S135945398</t>
  </si>
  <si>
    <t>S135945603</t>
  </si>
  <si>
    <t>S136132688</t>
  </si>
  <si>
    <t>S136132888</t>
  </si>
  <si>
    <t>S136133205</t>
  </si>
  <si>
    <t>S136133382</t>
  </si>
  <si>
    <t>S136335267</t>
  </si>
  <si>
    <t>S136335373</t>
  </si>
  <si>
    <t>S136555674</t>
  </si>
  <si>
    <t>S136556105</t>
  </si>
  <si>
    <t>S136556625</t>
  </si>
  <si>
    <t>S136557018</t>
  </si>
  <si>
    <t>S137216050</t>
  </si>
  <si>
    <t>S137217925</t>
  </si>
  <si>
    <t>S137219413</t>
  </si>
  <si>
    <t>S137220812</t>
  </si>
  <si>
    <t>S137813258</t>
  </si>
  <si>
    <t>S137815124</t>
  </si>
  <si>
    <t>S137816030</t>
  </si>
  <si>
    <t>S137816721</t>
  </si>
  <si>
    <t>S138054611</t>
  </si>
  <si>
    <t>S138055001</t>
  </si>
  <si>
    <t>S138055299</t>
  </si>
  <si>
    <t>S138058281</t>
  </si>
  <si>
    <t>S138058773</t>
  </si>
  <si>
    <t>S138661867</t>
  </si>
  <si>
    <t>S138662412</t>
  </si>
  <si>
    <t>S138662833</t>
  </si>
  <si>
    <t>S138663125</t>
  </si>
  <si>
    <t>S139226573</t>
  </si>
  <si>
    <t>S139227064</t>
  </si>
  <si>
    <t>S139227520</t>
  </si>
  <si>
    <t>S139786602</t>
  </si>
  <si>
    <t>S139787499</t>
  </si>
  <si>
    <t>S139787999</t>
  </si>
  <si>
    <t>S139789020</t>
  </si>
  <si>
    <t>S140434070</t>
  </si>
  <si>
    <t>S140435728</t>
  </si>
  <si>
    <t>S140436227</t>
  </si>
  <si>
    <t>S140436647</t>
  </si>
  <si>
    <t>S141472840</t>
  </si>
  <si>
    <t>S141473050</t>
  </si>
  <si>
    <t>S141473151</t>
  </si>
  <si>
    <t>S141666776</t>
  </si>
  <si>
    <t>S141669238</t>
  </si>
  <si>
    <t>S141671781</t>
  </si>
  <si>
    <t>S142232876</t>
  </si>
  <si>
    <t>S142234181</t>
  </si>
  <si>
    <t>S142235128</t>
  </si>
  <si>
    <t>S142235844</t>
  </si>
  <si>
    <t>S142506186</t>
  </si>
  <si>
    <t>S142508476</t>
  </si>
  <si>
    <t>S142738865</t>
  </si>
  <si>
    <t>S142739177</t>
  </si>
  <si>
    <t>S143277009</t>
  </si>
  <si>
    <t>S143277516</t>
  </si>
  <si>
    <t>S143278956</t>
  </si>
  <si>
    <t>S143279379</t>
  </si>
  <si>
    <t>S143907915</t>
  </si>
  <si>
    <t>S143908791</t>
  </si>
  <si>
    <t>S143909226</t>
  </si>
  <si>
    <t>S143909636</t>
  </si>
  <si>
    <t>S144502522</t>
  </si>
  <si>
    <t>S144502970</t>
  </si>
  <si>
    <t>S144503377</t>
  </si>
  <si>
    <t>S144503792</t>
  </si>
  <si>
    <t>S145307691</t>
  </si>
  <si>
    <t>S145309035</t>
  </si>
  <si>
    <t>S145310231</t>
  </si>
  <si>
    <t>S145312800</t>
  </si>
  <si>
    <t>S145668333</t>
  </si>
  <si>
    <t>S145670897</t>
  </si>
  <si>
    <t>S145677593</t>
  </si>
  <si>
    <t>S146144981</t>
  </si>
  <si>
    <t>S146145530</t>
  </si>
  <si>
    <t>S146145946</t>
  </si>
  <si>
    <t>S146146507</t>
  </si>
  <si>
    <t>S147006330</t>
  </si>
  <si>
    <t>S147007175</t>
  </si>
  <si>
    <t>S147591151</t>
  </si>
  <si>
    <t>S147591920</t>
  </si>
  <si>
    <t>S147592464</t>
  </si>
  <si>
    <t>S147739477</t>
  </si>
  <si>
    <t>S147739860</t>
  </si>
  <si>
    <t>S147740849</t>
  </si>
  <si>
    <t>S147741172</t>
  </si>
  <si>
    <t>S148302850</t>
  </si>
  <si>
    <t>S148304371</t>
  </si>
  <si>
    <t>S148304791</t>
  </si>
  <si>
    <t>S148305532</t>
  </si>
  <si>
    <t>S148838554</t>
  </si>
  <si>
    <t>S148838891</t>
  </si>
  <si>
    <t>S148839446</t>
  </si>
  <si>
    <t>S148839811</t>
  </si>
  <si>
    <t>S148845427</t>
  </si>
  <si>
    <t>S148846334</t>
  </si>
  <si>
    <t>S148846841</t>
  </si>
  <si>
    <t>S148847165</t>
  </si>
  <si>
    <t>S149435231</t>
  </si>
  <si>
    <t>S149436886</t>
  </si>
  <si>
    <t>S149437418</t>
  </si>
  <si>
    <t>S149438013</t>
  </si>
  <si>
    <t>S149443933</t>
  </si>
  <si>
    <t>S149446636</t>
  </si>
  <si>
    <t>S150764641</t>
  </si>
  <si>
    <t>S150765074</t>
  </si>
  <si>
    <t>S150765519</t>
  </si>
  <si>
    <t>S151391057</t>
  </si>
  <si>
    <t>S151391637</t>
  </si>
  <si>
    <t>S151391990</t>
  </si>
  <si>
    <t>S151392468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</si>
</sst>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charset val="13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  <scheme val="minor"/>
    </font>
    <font>
      <sz val="24"/>
      <color rgb="FF999999"/>
      <name val="Helvetica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7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0" xfId="0" applyFill="1"/>
    <xf numFmtId="0" fontId="0" fillId="5" borderId="0" xfId="0" applyFill="1"/>
    <xf numFmtId="0" fontId="0" fillId="2" borderId="0" xfId="0" applyFill="1"/>
    <xf numFmtId="0" fontId="0" fillId="3" borderId="0" xfId="0" applyFill="1" applyBorder="1"/>
    <xf numFmtId="0" fontId="0" fillId="5" borderId="0" xfId="0" applyFill="1" applyBorder="1"/>
    <xf numFmtId="0" fontId="0" fillId="2" borderId="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/>
    <xf numFmtId="0" fontId="3" fillId="0" borderId="0" xfId="0" applyFont="1" applyFill="1" applyBorder="1" applyAlignment="1"/>
    <xf numFmtId="14" fontId="0" fillId="0" borderId="0" xfId="0" applyNumberFormat="1" applyFill="1" applyBorder="1"/>
    <xf numFmtId="0" fontId="4" fillId="0" borderId="0" xfId="0" applyFont="1"/>
    <xf numFmtId="14" fontId="0" fillId="8" borderId="0" xfId="0" applyNumberFormat="1" applyFill="1"/>
    <xf numFmtId="0" fontId="0" fillId="9" borderId="0" xfId="0" applyFill="1"/>
    <xf numFmtId="0" fontId="3" fillId="0" borderId="0" xfId="0" applyFont="1" applyAlignment="1">
      <alignment horizontal="center"/>
    </xf>
    <xf numFmtId="16" fontId="0" fillId="0" borderId="0" xfId="0" applyNumberFormat="1"/>
  </cellXfs>
  <cellStyles count="27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Sheet5!$A$5:$A$21</c:f>
              <c:numCache>
                <c:formatCode>General</c:formatCode>
                <c:ptCount val="17"/>
                <c:pt idx="0">
                  <c:v>140.0</c:v>
                </c:pt>
                <c:pt idx="1">
                  <c:v>150.0</c:v>
                </c:pt>
                <c:pt idx="2">
                  <c:v>160.0</c:v>
                </c:pt>
                <c:pt idx="3">
                  <c:v>170.0</c:v>
                </c:pt>
                <c:pt idx="4">
                  <c:v>180.0</c:v>
                </c:pt>
                <c:pt idx="5">
                  <c:v>190.0</c:v>
                </c:pt>
                <c:pt idx="6">
                  <c:v>200.0</c:v>
                </c:pt>
                <c:pt idx="7">
                  <c:v>210.0</c:v>
                </c:pt>
                <c:pt idx="8">
                  <c:v>220.0</c:v>
                </c:pt>
                <c:pt idx="9">
                  <c:v>230.0</c:v>
                </c:pt>
                <c:pt idx="10">
                  <c:v>240.0</c:v>
                </c:pt>
                <c:pt idx="11">
                  <c:v>250.0</c:v>
                </c:pt>
                <c:pt idx="12">
                  <c:v>260.0</c:v>
                </c:pt>
                <c:pt idx="13">
                  <c:v>270.0</c:v>
                </c:pt>
                <c:pt idx="14">
                  <c:v>280.0</c:v>
                </c:pt>
                <c:pt idx="15">
                  <c:v>290.0</c:v>
                </c:pt>
                <c:pt idx="16">
                  <c:v>300.0</c:v>
                </c:pt>
              </c:numCache>
            </c:numRef>
          </c:cat>
          <c:val>
            <c:numRef>
              <c:f>Sheet5!$B$5:$B$21</c:f>
              <c:numCache>
                <c:formatCode>General</c:formatCode>
                <c:ptCount val="17"/>
                <c:pt idx="0">
                  <c:v>1.0</c:v>
                </c:pt>
                <c:pt idx="1">
                  <c:v>5.0</c:v>
                </c:pt>
                <c:pt idx="2">
                  <c:v>8.0</c:v>
                </c:pt>
                <c:pt idx="3">
                  <c:v>16.0</c:v>
                </c:pt>
                <c:pt idx="4">
                  <c:v>14.0</c:v>
                </c:pt>
                <c:pt idx="5">
                  <c:v>30.0</c:v>
                </c:pt>
                <c:pt idx="6">
                  <c:v>23.0</c:v>
                </c:pt>
                <c:pt idx="7">
                  <c:v>47.0</c:v>
                </c:pt>
                <c:pt idx="8">
                  <c:v>45.0</c:v>
                </c:pt>
                <c:pt idx="9">
                  <c:v>32.0</c:v>
                </c:pt>
                <c:pt idx="10">
                  <c:v>21.0</c:v>
                </c:pt>
                <c:pt idx="11">
                  <c:v>20.0</c:v>
                </c:pt>
                <c:pt idx="12">
                  <c:v>7.0</c:v>
                </c:pt>
                <c:pt idx="13">
                  <c:v>17.0</c:v>
                </c:pt>
                <c:pt idx="14">
                  <c:v>2.0</c:v>
                </c:pt>
                <c:pt idx="15">
                  <c:v>1.0</c:v>
                </c:pt>
                <c:pt idx="16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1808440"/>
        <c:axId val="1928925848"/>
      </c:barChar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Sheet5!$V$2:$V$18</c:f>
              <c:numCache>
                <c:formatCode>General</c:formatCode>
                <c:ptCount val="17"/>
                <c:pt idx="0">
                  <c:v>140.0</c:v>
                </c:pt>
                <c:pt idx="1">
                  <c:v>150.0</c:v>
                </c:pt>
                <c:pt idx="2">
                  <c:v>160.0</c:v>
                </c:pt>
                <c:pt idx="3">
                  <c:v>170.0</c:v>
                </c:pt>
                <c:pt idx="4">
                  <c:v>180.0</c:v>
                </c:pt>
                <c:pt idx="5">
                  <c:v>190.0</c:v>
                </c:pt>
                <c:pt idx="6">
                  <c:v>200.0</c:v>
                </c:pt>
                <c:pt idx="7">
                  <c:v>210.0</c:v>
                </c:pt>
                <c:pt idx="8">
                  <c:v>220.0</c:v>
                </c:pt>
                <c:pt idx="9">
                  <c:v>230.0</c:v>
                </c:pt>
                <c:pt idx="10">
                  <c:v>240.0</c:v>
                </c:pt>
                <c:pt idx="11">
                  <c:v>250.0</c:v>
                </c:pt>
                <c:pt idx="12">
                  <c:v>260.0</c:v>
                </c:pt>
                <c:pt idx="13">
                  <c:v>270.0</c:v>
                </c:pt>
                <c:pt idx="14">
                  <c:v>280.0</c:v>
                </c:pt>
                <c:pt idx="15">
                  <c:v>290.0</c:v>
                </c:pt>
                <c:pt idx="16">
                  <c:v>300.0</c:v>
                </c:pt>
              </c:numCache>
            </c:numRef>
          </c:cat>
          <c:val>
            <c:numRef>
              <c:f>Sheet5!$W$2:$W$18</c:f>
              <c:numCache>
                <c:formatCode>General</c:formatCode>
                <c:ptCount val="17"/>
                <c:pt idx="0">
                  <c:v>0.00058339438387284</c:v>
                </c:pt>
                <c:pt idx="1">
                  <c:v>0.00126714206746574</c:v>
                </c:pt>
                <c:pt idx="2">
                  <c:v>0.0024643087002243</c:v>
                </c:pt>
                <c:pt idx="3">
                  <c:v>0.00429112976031693</c:v>
                </c:pt>
                <c:pt idx="4">
                  <c:v>0.00669044370155647</c:v>
                </c:pt>
                <c:pt idx="5">
                  <c:v>0.00933995813733147</c:v>
                </c:pt>
                <c:pt idx="6">
                  <c:v>0.0116745910017552</c:v>
                </c:pt>
                <c:pt idx="7">
                  <c:v>0.0130660752747666</c:v>
                </c:pt>
                <c:pt idx="8">
                  <c:v>0.01309348855536</c:v>
                </c:pt>
                <c:pt idx="9">
                  <c:v>0.011748226908323</c:v>
                </c:pt>
                <c:pt idx="10">
                  <c:v>0.00943834862913248</c:v>
                </c:pt>
                <c:pt idx="11">
                  <c:v>0.00678932252331094</c:v>
                </c:pt>
                <c:pt idx="12">
                  <c:v>0.0043728401420888</c:v>
                </c:pt>
                <c:pt idx="13">
                  <c:v>0.00252178175415552</c:v>
                </c:pt>
                <c:pt idx="14">
                  <c:v>0.00130214135253819</c:v>
                </c:pt>
                <c:pt idx="15">
                  <c:v>0.000602026349872102</c:v>
                </c:pt>
                <c:pt idx="16">
                  <c:v>0.000249218114019803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7347624"/>
        <c:axId val="1928660792"/>
      </c:lineChart>
      <c:catAx>
        <c:axId val="-2117347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8660792"/>
        <c:crosses val="autoZero"/>
        <c:auto val="1"/>
        <c:lblAlgn val="ctr"/>
        <c:lblOffset val="100"/>
        <c:noMultiLvlLbl val="0"/>
      </c:catAx>
      <c:valAx>
        <c:axId val="1928660792"/>
        <c:scaling>
          <c:orientation val="minMax"/>
          <c:max val="0.015"/>
          <c:min val="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17347624"/>
        <c:crosses val="autoZero"/>
        <c:crossBetween val="between"/>
      </c:valAx>
      <c:valAx>
        <c:axId val="1928925848"/>
        <c:scaling>
          <c:orientation val="minMax"/>
          <c:max val="50.0"/>
        </c:scaling>
        <c:delete val="0"/>
        <c:axPos val="r"/>
        <c:numFmt formatCode="General" sourceLinked="1"/>
        <c:majorTickMark val="out"/>
        <c:minorTickMark val="none"/>
        <c:tickLblPos val="nextTo"/>
        <c:crossAx val="-2121808440"/>
        <c:crosses val="max"/>
        <c:crossBetween val="between"/>
      </c:valAx>
      <c:catAx>
        <c:axId val="-2121808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892584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2</xdr:row>
      <xdr:rowOff>184150</xdr:rowOff>
    </xdr:from>
    <xdr:to>
      <xdr:col>18</xdr:col>
      <xdr:colOff>609600</xdr:colOff>
      <xdr:row>27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sse Green" refreshedDate="42079.851732291667" createdVersion="4" refreshedVersion="4" minRefreshableVersion="3" recordCount="290">
  <cacheSource type="worksheet">
    <worksheetSource ref="A1:F291" sheet="Sheet4"/>
  </cacheSource>
  <cacheFields count="6">
    <cacheField name="date" numFmtId="14">
      <sharedItems containsSemiMixedTypes="0" containsNonDate="0" containsDate="1" containsString="0" minDate="2014-01-25T00:00:00" maxDate="2015-03-15T00:00:00"/>
    </cacheField>
    <cacheField name="score" numFmtId="0">
      <sharedItems containsSemiMixedTypes="0" containsString="0" containsNumber="1" minValue="135.4" maxValue="302.3"/>
    </cacheField>
    <cacheField name="model" numFmtId="0">
      <sharedItems/>
    </cacheField>
    <cacheField name="cutoff" numFmtId="0">
      <sharedItems containsSemiMixedTypes="0" containsString="0" containsNumber="1" containsInteger="1" minValue="0" maxValue="8"/>
    </cacheField>
    <cacheField name="loss" numFmtId="0">
      <sharedItems/>
    </cacheField>
    <cacheField name="rounded" numFmtId="0">
      <sharedItems containsSemiMixedTypes="0" containsString="0" containsNumber="1" containsInteger="1" minValue="130" maxValue="300" count="18">
        <n v="240"/>
        <n v="170"/>
        <n v="220"/>
        <n v="210"/>
        <n v="260"/>
        <n v="230"/>
        <n v="250"/>
        <n v="190"/>
        <n v="280"/>
        <n v="160"/>
        <n v="180"/>
        <n v="270"/>
        <n v="200"/>
        <n v="150"/>
        <n v="290"/>
        <n v="300"/>
        <n v="140"/>
        <n v="13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0">
  <r>
    <d v="2015-01-15T00:00:00"/>
    <n v="235.4"/>
    <s v="EN"/>
    <n v="0"/>
    <s v="l2"/>
    <x v="0"/>
  </r>
  <r>
    <d v="2015-01-16T00:00:00"/>
    <n v="170.9"/>
    <s v="EN"/>
    <n v="0"/>
    <s v="l2"/>
    <x v="1"/>
  </r>
  <r>
    <d v="2015-01-16T00:00:00"/>
    <n v="219.7"/>
    <s v="EN"/>
    <n v="0"/>
    <s v="l2"/>
    <x v="2"/>
  </r>
  <r>
    <d v="2015-01-17T00:00:00"/>
    <n v="240.4"/>
    <s v="EN"/>
    <n v="0"/>
    <s v="l2"/>
    <x v="0"/>
  </r>
  <r>
    <d v="2015-01-18T00:00:00"/>
    <n v="206.4"/>
    <s v="EN"/>
    <n v="0"/>
    <s v="l2"/>
    <x v="3"/>
  </r>
  <r>
    <d v="2015-01-19T00:00:00"/>
    <n v="256.2"/>
    <s v="EN"/>
    <n v="0"/>
    <s v="l2"/>
    <x v="4"/>
  </r>
  <r>
    <d v="2015-01-20T00:00:00"/>
    <n v="225.5"/>
    <s v="EN"/>
    <n v="0"/>
    <s v="l2"/>
    <x v="5"/>
  </r>
  <r>
    <d v="2015-01-20T00:00:00"/>
    <n v="247.5"/>
    <s v="EN"/>
    <n v="0"/>
    <s v="l2"/>
    <x v="6"/>
  </r>
  <r>
    <d v="2015-01-22T00:00:00"/>
    <n v="189.9"/>
    <s v="EN"/>
    <n v="0"/>
    <s v="l2"/>
    <x v="7"/>
  </r>
  <r>
    <d v="2015-01-23T00:00:00"/>
    <n v="281.3"/>
    <s v="EN"/>
    <n v="0"/>
    <s v="l2"/>
    <x v="8"/>
  </r>
  <r>
    <d v="2014-01-25T00:00:00"/>
    <n v="213.4"/>
    <s v="EN"/>
    <n v="0"/>
    <s v="l2"/>
    <x v="3"/>
  </r>
  <r>
    <d v="2014-01-25T00:00:00"/>
    <n v="214.8"/>
    <s v="EN"/>
    <n v="0"/>
    <s v="l2"/>
    <x v="3"/>
  </r>
  <r>
    <d v="2014-01-28T00:00:00"/>
    <n v="207.2"/>
    <s v="EN"/>
    <n v="0"/>
    <s v="l2"/>
    <x v="3"/>
  </r>
  <r>
    <d v="2014-01-27T00:00:00"/>
    <n v="162.4"/>
    <s v="EN"/>
    <n v="0"/>
    <s v="l2"/>
    <x v="9"/>
  </r>
  <r>
    <d v="2014-01-26T00:00:00"/>
    <n v="249.2"/>
    <s v="EN"/>
    <n v="0"/>
    <s v="l2"/>
    <x v="6"/>
  </r>
  <r>
    <d v="2014-01-26T00:00:00"/>
    <n v="191.1"/>
    <s v="EN"/>
    <n v="0"/>
    <s v="l2"/>
    <x v="7"/>
  </r>
  <r>
    <d v="2015-01-15T00:00:00"/>
    <n v="230"/>
    <s v="EN"/>
    <n v="8"/>
    <s v="l2"/>
    <x v="5"/>
  </r>
  <r>
    <d v="2015-01-16T00:00:00"/>
    <n v="172.8"/>
    <s v="EN"/>
    <n v="8"/>
    <s v="l2"/>
    <x v="1"/>
  </r>
  <r>
    <d v="2015-01-16T00:00:00"/>
    <n v="219.7"/>
    <s v="EN"/>
    <n v="8"/>
    <s v="l2"/>
    <x v="2"/>
  </r>
  <r>
    <d v="2015-01-17T00:00:00"/>
    <n v="192.3"/>
    <s v="EN"/>
    <n v="8"/>
    <s v="l2"/>
    <x v="7"/>
  </r>
  <r>
    <d v="2015-01-18T00:00:00"/>
    <n v="206.4"/>
    <s v="EN"/>
    <n v="8"/>
    <s v="l2"/>
    <x v="3"/>
  </r>
  <r>
    <d v="2015-01-19T00:00:00"/>
    <n v="258.7"/>
    <s v="EN"/>
    <n v="8"/>
    <s v="l2"/>
    <x v="4"/>
  </r>
  <r>
    <d v="2015-01-20T00:00:00"/>
    <n v="226.9"/>
    <s v="EN"/>
    <n v="8"/>
    <s v="l2"/>
    <x v="5"/>
  </r>
  <r>
    <d v="2015-01-20T00:00:00"/>
    <n v="225.9"/>
    <s v="EN"/>
    <n v="8"/>
    <s v="l2"/>
    <x v="5"/>
  </r>
  <r>
    <d v="2015-01-22T00:00:00"/>
    <n v="177"/>
    <s v="EN"/>
    <n v="8"/>
    <s v="l2"/>
    <x v="10"/>
  </r>
  <r>
    <d v="2015-01-23T00:00:00"/>
    <n v="231.8"/>
    <s v="EN"/>
    <n v="8"/>
    <s v="l2"/>
    <x v="5"/>
  </r>
  <r>
    <d v="2014-01-25T00:00:00"/>
    <n v="194.9"/>
    <s v="EN"/>
    <n v="8"/>
    <s v="l2"/>
    <x v="7"/>
  </r>
  <r>
    <d v="2014-01-25T00:00:00"/>
    <n v="214.8"/>
    <s v="EN"/>
    <n v="8"/>
    <s v="l2"/>
    <x v="3"/>
  </r>
  <r>
    <d v="2014-01-28T00:00:00"/>
    <n v="208.3"/>
    <s v="EN"/>
    <n v="8"/>
    <s v="l2"/>
    <x v="3"/>
  </r>
  <r>
    <d v="2014-01-27T00:00:00"/>
    <n v="166.8"/>
    <s v="EN"/>
    <n v="8"/>
    <s v="l2"/>
    <x v="1"/>
  </r>
  <r>
    <d v="2014-01-26T00:00:00"/>
    <n v="270"/>
    <s v="EN"/>
    <n v="8"/>
    <s v="l2"/>
    <x v="11"/>
  </r>
  <r>
    <d v="2014-01-26T00:00:00"/>
    <n v="191.1"/>
    <s v="EN"/>
    <n v="8"/>
    <s v="l2"/>
    <x v="7"/>
  </r>
  <r>
    <d v="2015-01-17T00:00:00"/>
    <n v="192.3"/>
    <s v="EN"/>
    <n v="0"/>
    <s v="l1"/>
    <x v="7"/>
  </r>
  <r>
    <d v="2015-01-18T00:00:00"/>
    <n v="206.4"/>
    <s v="EN"/>
    <n v="0"/>
    <s v="l1"/>
    <x v="3"/>
  </r>
  <r>
    <d v="2015-01-19T00:00:00"/>
    <n v="253.8"/>
    <s v="EN"/>
    <n v="0"/>
    <s v="l1"/>
    <x v="6"/>
  </r>
  <r>
    <d v="2015-01-20T00:00:00"/>
    <n v="226.9"/>
    <s v="EN"/>
    <n v="0"/>
    <s v="l1"/>
    <x v="5"/>
  </r>
  <r>
    <d v="2015-01-20T00:00:00"/>
    <n v="248.4"/>
    <s v="EN"/>
    <n v="0"/>
    <s v="l1"/>
    <x v="6"/>
  </r>
  <r>
    <d v="2015-01-22T00:00:00"/>
    <n v="189.9"/>
    <s v="EN"/>
    <n v="0"/>
    <s v="l1"/>
    <x v="7"/>
  </r>
  <r>
    <d v="2015-01-23T00:00:00"/>
    <n v="271.5"/>
    <s v="EN"/>
    <n v="0"/>
    <s v="l1"/>
    <x v="11"/>
  </r>
  <r>
    <d v="2014-01-25T00:00:00"/>
    <n v="205.9"/>
    <s v="EN"/>
    <n v="0"/>
    <s v="l1"/>
    <x v="3"/>
  </r>
  <r>
    <d v="2014-01-25T00:00:00"/>
    <n v="213.5"/>
    <s v="EN"/>
    <n v="0"/>
    <s v="l1"/>
    <x v="3"/>
  </r>
  <r>
    <d v="2014-01-28T00:00:00"/>
    <n v="202"/>
    <s v="EN"/>
    <n v="0"/>
    <s v="l1"/>
    <x v="12"/>
  </r>
  <r>
    <d v="2014-01-27T00:00:00"/>
    <n v="152.30000000000001"/>
    <s v="EN"/>
    <n v="0"/>
    <s v="l1"/>
    <x v="13"/>
  </r>
  <r>
    <d v="2014-01-26T00:00:00"/>
    <n v="249.2"/>
    <s v="EN"/>
    <n v="0"/>
    <s v="l1"/>
    <x v="6"/>
  </r>
  <r>
    <d v="2014-01-26T00:00:00"/>
    <n v="191.1"/>
    <s v="EN"/>
    <n v="0"/>
    <s v="l1"/>
    <x v="7"/>
  </r>
  <r>
    <d v="2015-01-17T00:00:00"/>
    <n v="192.3"/>
    <s v="EN"/>
    <n v="8"/>
    <s v="l1"/>
    <x v="7"/>
  </r>
  <r>
    <d v="2015-01-18T00:00:00"/>
    <n v="206.4"/>
    <s v="EN"/>
    <n v="8"/>
    <s v="l1"/>
    <x v="3"/>
  </r>
  <r>
    <d v="2015-01-19T00:00:00"/>
    <n v="275.2"/>
    <s v="EN"/>
    <n v="8"/>
    <s v="l1"/>
    <x v="8"/>
  </r>
  <r>
    <d v="2015-01-20T00:00:00"/>
    <n v="226.9"/>
    <s v="EN"/>
    <n v="8"/>
    <s v="l1"/>
    <x v="5"/>
  </r>
  <r>
    <d v="2015-01-20T00:00:00"/>
    <n v="249.7"/>
    <s v="EN"/>
    <n v="8"/>
    <s v="l1"/>
    <x v="6"/>
  </r>
  <r>
    <d v="2015-01-22T00:00:00"/>
    <n v="213.8"/>
    <s v="EN"/>
    <n v="8"/>
    <s v="l1"/>
    <x v="3"/>
  </r>
  <r>
    <d v="2015-01-23T00:00:00"/>
    <n v="252"/>
    <s v="EN"/>
    <n v="8"/>
    <s v="l1"/>
    <x v="6"/>
  </r>
  <r>
    <d v="2014-01-25T00:00:00"/>
    <n v="227.9"/>
    <s v="EN"/>
    <n v="8"/>
    <s v="l1"/>
    <x v="5"/>
  </r>
  <r>
    <d v="2014-01-25T00:00:00"/>
    <n v="215.8"/>
    <s v="EN"/>
    <n v="8"/>
    <s v="l1"/>
    <x v="2"/>
  </r>
  <r>
    <d v="2014-01-28T00:00:00"/>
    <n v="213.8"/>
    <s v="EN"/>
    <n v="8"/>
    <s v="l1"/>
    <x v="3"/>
  </r>
  <r>
    <d v="2014-01-27T00:00:00"/>
    <n v="163.30000000000001"/>
    <s v="EN"/>
    <n v="8"/>
    <s v="l1"/>
    <x v="9"/>
  </r>
  <r>
    <d v="2014-01-26T00:00:00"/>
    <n v="220.7"/>
    <s v="EN"/>
    <n v="8"/>
    <s v="l1"/>
    <x v="2"/>
  </r>
  <r>
    <d v="2014-01-26T00:00:00"/>
    <n v="191.1"/>
    <s v="EN"/>
    <n v="8"/>
    <s v="l1"/>
    <x v="7"/>
  </r>
  <r>
    <d v="2015-01-18T00:00:00"/>
    <n v="243.3"/>
    <s v="SVR"/>
    <n v="8"/>
    <s v="l1"/>
    <x v="0"/>
  </r>
  <r>
    <d v="2015-01-19T00:00:00"/>
    <n v="249.7"/>
    <s v="SVR"/>
    <n v="8"/>
    <s v="l1"/>
    <x v="6"/>
  </r>
  <r>
    <d v="2015-01-20T00:00:00"/>
    <n v="226.9"/>
    <s v="SVR"/>
    <n v="8"/>
    <s v="l1"/>
    <x v="5"/>
  </r>
  <r>
    <d v="2015-01-20T00:00:00"/>
    <n v="240.9"/>
    <s v="SVR"/>
    <n v="8"/>
    <s v="l1"/>
    <x v="0"/>
  </r>
  <r>
    <d v="2015-01-22T00:00:00"/>
    <n v="213.8"/>
    <s v="SVR"/>
    <n v="8"/>
    <s v="l1"/>
    <x v="3"/>
  </r>
  <r>
    <d v="2015-01-23T00:00:00"/>
    <n v="243.6"/>
    <s v="SVR"/>
    <n v="8"/>
    <s v="l1"/>
    <x v="0"/>
  </r>
  <r>
    <d v="2014-01-25T00:00:00"/>
    <n v="173"/>
    <s v="SVR"/>
    <n v="8"/>
    <s v="l1"/>
    <x v="1"/>
  </r>
  <r>
    <d v="2014-01-25T00:00:00"/>
    <n v="186.6"/>
    <s v="SVR"/>
    <n v="8"/>
    <s v="l1"/>
    <x v="7"/>
  </r>
  <r>
    <d v="2014-01-28T00:00:00"/>
    <n v="199.6"/>
    <s v="SVR"/>
    <n v="8"/>
    <s v="l1"/>
    <x v="12"/>
  </r>
  <r>
    <d v="2014-01-27T00:00:00"/>
    <n v="177.9"/>
    <s v="SVR"/>
    <n v="8"/>
    <s v="l1"/>
    <x v="10"/>
  </r>
  <r>
    <d v="2014-01-26T00:00:00"/>
    <n v="220.7"/>
    <s v="SVR"/>
    <n v="8"/>
    <s v="l1"/>
    <x v="2"/>
  </r>
  <r>
    <d v="2014-01-26T00:00:00"/>
    <n v="188.2"/>
    <s v="SVR"/>
    <n v="8"/>
    <s v="l1"/>
    <x v="7"/>
  </r>
  <r>
    <d v="2015-01-29T00:00:00"/>
    <n v="271.10000000000002"/>
    <s v="EN"/>
    <n v="8"/>
    <s v="l2"/>
    <x v="11"/>
  </r>
  <r>
    <d v="2015-01-29T00:00:00"/>
    <n v="271.10000000000002"/>
    <s v="EN"/>
    <n v="8"/>
    <s v="l1"/>
    <x v="11"/>
  </r>
  <r>
    <d v="2015-01-29T00:00:00"/>
    <n v="271.10000000000002"/>
    <s v="EN"/>
    <n v="0"/>
    <s v="l1"/>
    <x v="11"/>
  </r>
  <r>
    <d v="2015-01-29T00:00:00"/>
    <n v="218.7"/>
    <s v="EN"/>
    <n v="0"/>
    <s v="l2"/>
    <x v="2"/>
  </r>
  <r>
    <d v="2015-01-29T00:00:00"/>
    <n v="264.8"/>
    <s v="SVR"/>
    <n v="8"/>
    <s v="l1"/>
    <x v="4"/>
  </r>
  <r>
    <d v="2015-01-30T00:00:00"/>
    <n v="173.7"/>
    <s v="EN"/>
    <n v="8"/>
    <s v="l2"/>
    <x v="1"/>
  </r>
  <r>
    <d v="2015-01-30T00:00:00"/>
    <n v="173.7"/>
    <s v="EN"/>
    <n v="8"/>
    <s v="l1"/>
    <x v="1"/>
  </r>
  <r>
    <d v="2015-01-30T00:00:00"/>
    <n v="173.7"/>
    <s v="EN"/>
    <n v="0"/>
    <s v="l1"/>
    <x v="1"/>
  </r>
  <r>
    <d v="2015-01-30T00:00:00"/>
    <n v="173.7"/>
    <s v="EN"/>
    <n v="0"/>
    <s v="l2"/>
    <x v="1"/>
  </r>
  <r>
    <d v="2015-01-30T00:00:00"/>
    <n v="173.7"/>
    <s v="SVR"/>
    <n v="8"/>
    <s v="l1"/>
    <x v="1"/>
  </r>
  <r>
    <d v="2015-01-31T00:00:00"/>
    <n v="191.5"/>
    <s v="EN"/>
    <n v="8"/>
    <s v="l2"/>
    <x v="7"/>
  </r>
  <r>
    <d v="2015-01-31T00:00:00"/>
    <n v="178.6"/>
    <s v="EN"/>
    <n v="8"/>
    <s v="l1"/>
    <x v="10"/>
  </r>
  <r>
    <d v="2015-01-31T00:00:00"/>
    <n v="178.7"/>
    <s v="EN"/>
    <n v="0"/>
    <s v="l1"/>
    <x v="10"/>
  </r>
  <r>
    <d v="2015-01-31T00:00:00"/>
    <n v="191.5"/>
    <s v="EN"/>
    <n v="0"/>
    <s v="l2"/>
    <x v="7"/>
  </r>
  <r>
    <d v="2015-01-31T00:00:00"/>
    <n v="217.7"/>
    <s v="SVR"/>
    <n v="8"/>
    <s v="l1"/>
    <x v="2"/>
  </r>
  <r>
    <d v="2015-01-31T00:00:00"/>
    <n v="219.3"/>
    <s v="EN"/>
    <n v="8"/>
    <s v="l2"/>
    <x v="2"/>
  </r>
  <r>
    <d v="2015-01-31T00:00:00"/>
    <n v="205.4"/>
    <s v="EN"/>
    <n v="8"/>
    <s v="l1"/>
    <x v="3"/>
  </r>
  <r>
    <d v="2015-01-31T00:00:00"/>
    <n v="185.9"/>
    <s v="EN"/>
    <n v="0"/>
    <s v="l1"/>
    <x v="7"/>
  </r>
  <r>
    <d v="2015-01-31T00:00:00"/>
    <n v="179.4"/>
    <s v="EN"/>
    <n v="0"/>
    <s v="l2"/>
    <x v="10"/>
  </r>
  <r>
    <d v="2015-01-31T00:00:00"/>
    <n v="212.8"/>
    <s v="SVR"/>
    <n v="8"/>
    <s v="l1"/>
    <x v="3"/>
  </r>
  <r>
    <d v="2015-02-01T00:00:00"/>
    <n v="254.5"/>
    <s v="EN"/>
    <n v="0"/>
    <s v="l2"/>
    <x v="6"/>
  </r>
  <r>
    <d v="2015-02-01T00:00:00"/>
    <n v="254.5"/>
    <s v="EN"/>
    <n v="8"/>
    <s v="l2"/>
    <x v="6"/>
  </r>
  <r>
    <d v="2015-02-01T00:00:00"/>
    <n v="254.5"/>
    <s v="EN"/>
    <n v="0"/>
    <s v="l1"/>
    <x v="6"/>
  </r>
  <r>
    <d v="2015-02-01T00:00:00"/>
    <n v="254.5"/>
    <s v="EN"/>
    <n v="8"/>
    <s v="l1"/>
    <x v="6"/>
  </r>
  <r>
    <d v="2015-02-01T00:00:00"/>
    <n v="254.5"/>
    <s v="SVR"/>
    <n v="8"/>
    <s v="l1"/>
    <x v="6"/>
  </r>
  <r>
    <d v="2015-02-02T00:00:00"/>
    <n v="211.6"/>
    <s v="EN"/>
    <n v="0"/>
    <s v="l2"/>
    <x v="3"/>
  </r>
  <r>
    <d v="2015-02-02T00:00:00"/>
    <n v="215.6"/>
    <s v="EN"/>
    <n v="8"/>
    <s v="l2"/>
    <x v="2"/>
  </r>
  <r>
    <d v="2015-02-02T00:00:00"/>
    <n v="214.7"/>
    <s v="EN"/>
    <n v="0"/>
    <s v="l1"/>
    <x v="3"/>
  </r>
  <r>
    <d v="2015-02-02T00:00:00"/>
    <n v="242"/>
    <s v="EN"/>
    <n v="8"/>
    <s v="l1"/>
    <x v="0"/>
  </r>
  <r>
    <d v="2015-02-02T00:00:00"/>
    <n v="239"/>
    <s v="SVR"/>
    <n v="8"/>
    <s v="l1"/>
    <x v="0"/>
  </r>
  <r>
    <d v="2015-02-03T00:00:00"/>
    <n v="272.2"/>
    <s v="EN"/>
    <n v="0"/>
    <s v="l2"/>
    <x v="11"/>
  </r>
  <r>
    <d v="2015-02-03T00:00:00"/>
    <n v="272.2"/>
    <s v="EN"/>
    <n v="8"/>
    <s v="l2"/>
    <x v="11"/>
  </r>
  <r>
    <d v="2015-02-03T00:00:00"/>
    <n v="272.2"/>
    <s v="EN"/>
    <n v="0"/>
    <s v="l1"/>
    <x v="11"/>
  </r>
  <r>
    <d v="2015-02-03T00:00:00"/>
    <n v="272.2"/>
    <s v="EN"/>
    <n v="8"/>
    <s v="l1"/>
    <x v="11"/>
  </r>
  <r>
    <d v="2015-02-03T00:00:00"/>
    <n v="291.10000000000002"/>
    <s v="SVR"/>
    <n v="8"/>
    <s v="l1"/>
    <x v="14"/>
  </r>
  <r>
    <d v="2015-02-04T00:00:00"/>
    <n v="213"/>
    <s v="EN"/>
    <n v="0"/>
    <s v="l2"/>
    <x v="3"/>
  </r>
  <r>
    <d v="2015-02-04T00:00:00"/>
    <n v="229.7"/>
    <s v="EN"/>
    <n v="8"/>
    <s v="l2"/>
    <x v="5"/>
  </r>
  <r>
    <d v="2015-02-04T00:00:00"/>
    <n v="199.2"/>
    <s v="EN"/>
    <n v="0"/>
    <s v="l1"/>
    <x v="12"/>
  </r>
  <r>
    <d v="2015-02-04T00:00:00"/>
    <n v="210.5"/>
    <s v="EN"/>
    <n v="8"/>
    <s v="l1"/>
    <x v="3"/>
  </r>
  <r>
    <d v="2015-02-04T00:00:00"/>
    <n v="218"/>
    <s v="SVR"/>
    <n v="8"/>
    <s v="l1"/>
    <x v="2"/>
  </r>
  <r>
    <d v="2015-02-05T00:00:00"/>
    <n v="223.5"/>
    <s v="EN"/>
    <n v="0"/>
    <s v="l2"/>
    <x v="2"/>
  </r>
  <r>
    <d v="2015-02-05T00:00:00"/>
    <n v="223.5"/>
    <s v="EN"/>
    <n v="8"/>
    <s v="l2"/>
    <x v="2"/>
  </r>
  <r>
    <d v="2015-02-05T00:00:00"/>
    <n v="223.5"/>
    <s v="EN"/>
    <n v="0"/>
    <s v="l1"/>
    <x v="2"/>
  </r>
  <r>
    <d v="2015-02-05T00:00:00"/>
    <n v="223.5"/>
    <s v="EN"/>
    <n v="8"/>
    <s v="l1"/>
    <x v="2"/>
  </r>
  <r>
    <d v="2015-02-05T00:00:00"/>
    <n v="218.2"/>
    <s v="SVR"/>
    <n v="8"/>
    <s v="l1"/>
    <x v="2"/>
  </r>
  <r>
    <d v="2015-02-06T00:00:00"/>
    <n v="208.5"/>
    <s v="EN"/>
    <n v="0"/>
    <s v="l2"/>
    <x v="3"/>
  </r>
  <r>
    <d v="2015-02-06T00:00:00"/>
    <n v="208.5"/>
    <s v="EN"/>
    <n v="8"/>
    <s v="l2"/>
    <x v="3"/>
  </r>
  <r>
    <d v="2015-02-06T00:00:00"/>
    <n v="208.5"/>
    <s v="EN"/>
    <n v="0"/>
    <s v="l1"/>
    <x v="3"/>
  </r>
  <r>
    <d v="2015-02-06T00:00:00"/>
    <n v="208.5"/>
    <s v="EN"/>
    <n v="8"/>
    <s v="l1"/>
    <x v="3"/>
  </r>
  <r>
    <d v="2015-02-06T00:00:00"/>
    <n v="212.2"/>
    <s v="SVR"/>
    <n v="8"/>
    <s v="l1"/>
    <x v="3"/>
  </r>
  <r>
    <d v="2015-02-06T00:00:00"/>
    <n v="239.9"/>
    <s v="EN"/>
    <n v="0"/>
    <s v="l2"/>
    <x v="0"/>
  </r>
  <r>
    <d v="2015-02-06T00:00:00"/>
    <n v="239.9"/>
    <s v="EN"/>
    <n v="8"/>
    <s v="l2"/>
    <x v="0"/>
  </r>
  <r>
    <d v="2015-02-06T00:00:00"/>
    <n v="229.2"/>
    <s v="EN"/>
    <n v="0"/>
    <s v="l1"/>
    <x v="5"/>
  </r>
  <r>
    <d v="2015-02-06T00:00:00"/>
    <n v="239.9"/>
    <s v="EN"/>
    <n v="8"/>
    <s v="l1"/>
    <x v="0"/>
  </r>
  <r>
    <d v="2015-02-06T00:00:00"/>
    <n v="213.7"/>
    <s v="SVR"/>
    <n v="8"/>
    <s v="l1"/>
    <x v="3"/>
  </r>
  <r>
    <d v="2015-02-07T00:00:00"/>
    <n v="232.5"/>
    <s v="EN"/>
    <n v="0"/>
    <s v="l2"/>
    <x v="5"/>
  </r>
  <r>
    <d v="2015-02-07T00:00:00"/>
    <n v="188.4"/>
    <s v="EN"/>
    <n v="8"/>
    <s v="l2"/>
    <x v="7"/>
  </r>
  <r>
    <d v="2015-02-07T00:00:00"/>
    <n v="232.5"/>
    <s v="EN"/>
    <n v="0"/>
    <s v="l1"/>
    <x v="5"/>
  </r>
  <r>
    <d v="2015-02-07T00:00:00"/>
    <n v="188.4"/>
    <s v="EN"/>
    <n v="8"/>
    <s v="l1"/>
    <x v="7"/>
  </r>
  <r>
    <d v="2015-02-07T00:00:00"/>
    <n v="244"/>
    <s v="SVR"/>
    <n v="8"/>
    <s v="l1"/>
    <x v="0"/>
  </r>
  <r>
    <d v="2015-02-07T00:00:00"/>
    <n v="248.9"/>
    <s v="NN"/>
    <n v="8"/>
    <s v="l2"/>
    <x v="6"/>
  </r>
  <r>
    <d v="2015-02-08T00:00:00"/>
    <n v="159.4"/>
    <s v="EN"/>
    <n v="0"/>
    <s v="l2"/>
    <x v="9"/>
  </r>
  <r>
    <d v="2015-02-08T00:00:00"/>
    <n v="159.4"/>
    <s v="EN"/>
    <n v="8"/>
    <s v="l2"/>
    <x v="9"/>
  </r>
  <r>
    <d v="2015-02-08T00:00:00"/>
    <n v="159.4"/>
    <s v="EN"/>
    <n v="0"/>
    <s v="l1"/>
    <x v="9"/>
  </r>
  <r>
    <d v="2015-02-08T00:00:00"/>
    <n v="187.1"/>
    <s v="EN"/>
    <n v="8"/>
    <s v="l1"/>
    <x v="7"/>
  </r>
  <r>
    <d v="2015-02-08T00:00:00"/>
    <n v="194.6"/>
    <s v="SVR"/>
    <n v="8"/>
    <s v="l1"/>
    <x v="7"/>
  </r>
  <r>
    <d v="2015-02-08T00:00:00"/>
    <n v="176.7"/>
    <s v="NN"/>
    <n v="8"/>
    <s v="l2"/>
    <x v="10"/>
  </r>
  <r>
    <d v="2015-02-09T00:00:00"/>
    <n v="210.6"/>
    <s v="EN"/>
    <n v="0"/>
    <s v="l2"/>
    <x v="3"/>
  </r>
  <r>
    <d v="2015-02-09T00:00:00"/>
    <n v="203.9"/>
    <s v="EN"/>
    <n v="8"/>
    <s v="l2"/>
    <x v="12"/>
  </r>
  <r>
    <d v="2015-02-09T00:00:00"/>
    <n v="221.5"/>
    <s v="EN"/>
    <n v="0"/>
    <s v="l1"/>
    <x v="2"/>
  </r>
  <r>
    <d v="2015-02-09T00:00:00"/>
    <n v="221.5"/>
    <s v="EN"/>
    <n v="8"/>
    <s v="l1"/>
    <x v="2"/>
  </r>
  <r>
    <d v="2015-02-09T00:00:00"/>
    <n v="218.5"/>
    <s v="SVR"/>
    <n v="8"/>
    <s v="l1"/>
    <x v="2"/>
  </r>
  <r>
    <d v="2015-02-09T00:00:00"/>
    <n v="199.8"/>
    <s v="NN"/>
    <n v="8"/>
    <s v="l2"/>
    <x v="12"/>
  </r>
  <r>
    <d v="2015-02-11T00:00:00"/>
    <n v="205.5"/>
    <s v="EN"/>
    <n v="0"/>
    <s v="l2"/>
    <x v="3"/>
  </r>
  <r>
    <d v="2015-02-11T00:00:00"/>
    <n v="222"/>
    <s v="EN"/>
    <n v="8"/>
    <s v="l2"/>
    <x v="2"/>
  </r>
  <r>
    <d v="2015-02-11T00:00:00"/>
    <n v="203.3"/>
    <s v="SVR"/>
    <n v="8"/>
    <s v="l1"/>
    <x v="12"/>
  </r>
  <r>
    <d v="2015-02-11T00:00:00"/>
    <n v="219.4"/>
    <s v="NN"/>
    <n v="8"/>
    <s v="l2"/>
    <x v="2"/>
  </r>
  <r>
    <d v="2015-02-12T00:00:00"/>
    <n v="216.5"/>
    <s v="EN"/>
    <n v="0"/>
    <s v="l2"/>
    <x v="2"/>
  </r>
  <r>
    <d v="2015-02-12T00:00:00"/>
    <n v="216.5"/>
    <s v="EN"/>
    <n v="8"/>
    <s v="l2"/>
    <x v="2"/>
  </r>
  <r>
    <d v="2015-02-12T00:00:00"/>
    <n v="166.3"/>
    <s v="SVR"/>
    <n v="8"/>
    <s v="l1"/>
    <x v="1"/>
  </r>
  <r>
    <d v="2015-02-12T00:00:00"/>
    <n v="168"/>
    <s v="NN"/>
    <n v="8"/>
    <s v="l2"/>
    <x v="1"/>
  </r>
  <r>
    <d v="2015-02-14T00:00:00"/>
    <n v="195.1"/>
    <s v="EN"/>
    <n v="0"/>
    <s v="l2"/>
    <x v="12"/>
  </r>
  <r>
    <d v="2015-02-14T00:00:00"/>
    <n v="222.4"/>
    <s v="EN"/>
    <n v="8"/>
    <s v="l2"/>
    <x v="2"/>
  </r>
  <r>
    <d v="2015-02-14T00:00:00"/>
    <n v="205"/>
    <s v="SVR"/>
    <n v="8"/>
    <s v="l1"/>
    <x v="3"/>
  </r>
  <r>
    <d v="2015-02-14T00:00:00"/>
    <n v="222.4"/>
    <s v="NN"/>
    <n v="8"/>
    <s v="l2"/>
    <x v="2"/>
  </r>
  <r>
    <d v="2015-02-14T00:00:00"/>
    <n v="200"/>
    <s v="EN"/>
    <n v="0"/>
    <s v="l2"/>
    <x v="12"/>
  </r>
  <r>
    <d v="2015-02-14T00:00:00"/>
    <n v="234.8"/>
    <s v="EN"/>
    <n v="8"/>
    <s v="l2"/>
    <x v="5"/>
  </r>
  <r>
    <d v="2015-02-14T00:00:00"/>
    <n v="222.3"/>
    <s v="SVR"/>
    <n v="8"/>
    <s v="l1"/>
    <x v="2"/>
  </r>
  <r>
    <d v="2015-02-14T00:00:00"/>
    <n v="220.9"/>
    <s v="NN"/>
    <n v="8"/>
    <s v="l2"/>
    <x v="2"/>
  </r>
  <r>
    <d v="2015-02-15T00:00:00"/>
    <n v="235"/>
    <s v="EN"/>
    <n v="0"/>
    <s v="l2"/>
    <x v="0"/>
  </r>
  <r>
    <d v="2015-02-15T00:00:00"/>
    <n v="235"/>
    <s v="EN"/>
    <n v="8"/>
    <s v="l2"/>
    <x v="0"/>
  </r>
  <r>
    <d v="2015-02-15T00:00:00"/>
    <n v="235"/>
    <s v="SVR"/>
    <n v="8"/>
    <s v="l1"/>
    <x v="0"/>
  </r>
  <r>
    <d v="2015-02-15T00:00:00"/>
    <n v="235"/>
    <s v="NN"/>
    <n v="8"/>
    <s v="l2"/>
    <x v="0"/>
  </r>
  <r>
    <d v="2015-02-15T00:00:00"/>
    <n v="252.4"/>
    <s v="EN"/>
    <n v="0"/>
    <s v="l2"/>
    <x v="6"/>
  </r>
  <r>
    <d v="2015-02-15T00:00:00"/>
    <n v="212.7"/>
    <s v="EN"/>
    <n v="8"/>
    <s v="l2"/>
    <x v="3"/>
  </r>
  <r>
    <d v="2015-02-15T00:00:00"/>
    <n v="222.9"/>
    <s v="SVR"/>
    <n v="8"/>
    <s v="l1"/>
    <x v="2"/>
  </r>
  <r>
    <d v="2015-02-15T00:00:00"/>
    <n v="212.7"/>
    <s v="NN"/>
    <n v="8"/>
    <s v="l2"/>
    <x v="3"/>
  </r>
  <r>
    <d v="2015-02-16T00:00:00"/>
    <n v="183.9"/>
    <s v="EN"/>
    <n v="0"/>
    <s v="l2"/>
    <x v="10"/>
  </r>
  <r>
    <d v="2015-02-16T00:00:00"/>
    <n v="213.2"/>
    <s v="EN"/>
    <n v="8"/>
    <s v="l2"/>
    <x v="3"/>
  </r>
  <r>
    <d v="2015-02-16T00:00:00"/>
    <n v="177.7"/>
    <s v="SVR"/>
    <n v="8"/>
    <s v="l1"/>
    <x v="10"/>
  </r>
  <r>
    <d v="2015-02-16T00:00:00"/>
    <n v="190.8"/>
    <s v="NN"/>
    <n v="8"/>
    <s v="l2"/>
    <x v="7"/>
  </r>
  <r>
    <d v="2015-02-17T00:00:00"/>
    <n v="150.69999999999999"/>
    <s v="EN"/>
    <n v="0"/>
    <s v="l2"/>
    <x v="13"/>
  </r>
  <r>
    <d v="2015-02-17T00:00:00"/>
    <n v="176.9"/>
    <s v="EN"/>
    <n v="8"/>
    <s v="l2"/>
    <x v="10"/>
  </r>
  <r>
    <d v="2015-02-17T00:00:00"/>
    <n v="150.5"/>
    <s v="SVR"/>
    <n v="8"/>
    <s v="l1"/>
    <x v="13"/>
  </r>
  <r>
    <d v="2015-02-17T00:00:00"/>
    <n v="191"/>
    <s v="NN"/>
    <n v="8"/>
    <s v="l2"/>
    <x v="7"/>
  </r>
  <r>
    <d v="2015-02-18T00:00:00"/>
    <n v="235.5"/>
    <s v="EN"/>
    <n v="0"/>
    <s v="l2"/>
    <x v="0"/>
  </r>
  <r>
    <d v="2015-02-18T00:00:00"/>
    <n v="226.9"/>
    <s v="EN"/>
    <n v="8"/>
    <s v="l2"/>
    <x v="5"/>
  </r>
  <r>
    <d v="2015-02-18T00:00:00"/>
    <n v="226.9"/>
    <s v="SVR"/>
    <n v="8"/>
    <s v="l1"/>
    <x v="5"/>
  </r>
  <r>
    <d v="2015-02-18T00:00:00"/>
    <n v="226.9"/>
    <s v="NN"/>
    <n v="8"/>
    <s v="l2"/>
    <x v="5"/>
  </r>
  <r>
    <d v="2015-02-19T00:00:00"/>
    <n v="176.1"/>
    <s v="EN"/>
    <n v="0"/>
    <s v="l2"/>
    <x v="10"/>
  </r>
  <r>
    <d v="2015-02-19T00:00:00"/>
    <n v="219.4"/>
    <s v="EN"/>
    <n v="8"/>
    <s v="l2"/>
    <x v="2"/>
  </r>
  <r>
    <d v="2015-02-19T00:00:00"/>
    <n v="197.2"/>
    <s v="SVR"/>
    <n v="8"/>
    <s v="l1"/>
    <x v="12"/>
  </r>
  <r>
    <d v="2015-02-19T00:00:00"/>
    <n v="221"/>
    <s v="NN"/>
    <n v="8"/>
    <s v="l2"/>
    <x v="2"/>
  </r>
  <r>
    <d v="2015-02-20T00:00:00"/>
    <n v="211.3"/>
    <s v="EN"/>
    <n v="0"/>
    <s v="l2"/>
    <x v="3"/>
  </r>
  <r>
    <d v="2015-02-20T00:00:00"/>
    <n v="269"/>
    <s v="EN"/>
    <n v="8"/>
    <s v="l2"/>
    <x v="11"/>
  </r>
  <r>
    <d v="2015-02-20T00:00:00"/>
    <n v="228"/>
    <s v="SVR"/>
    <n v="8"/>
    <s v="l1"/>
    <x v="5"/>
  </r>
  <r>
    <d v="2015-02-20T00:00:00"/>
    <n v="250.8"/>
    <s v="NN"/>
    <n v="8"/>
    <s v="l2"/>
    <x v="6"/>
  </r>
  <r>
    <d v="2015-02-20T00:00:00"/>
    <n v="168.3"/>
    <s v="EN"/>
    <n v="0"/>
    <s v="l2"/>
    <x v="1"/>
  </r>
  <r>
    <d v="2015-02-20T00:00:00"/>
    <n v="152.80000000000001"/>
    <s v="EN"/>
    <n v="8"/>
    <s v="l2"/>
    <x v="13"/>
  </r>
  <r>
    <d v="2015-02-20T00:00:00"/>
    <n v="158.1"/>
    <s v="SVR"/>
    <n v="8"/>
    <s v="l1"/>
    <x v="9"/>
  </r>
  <r>
    <d v="2015-02-20T00:00:00"/>
    <n v="175.8"/>
    <s v="NN"/>
    <n v="8"/>
    <s v="l2"/>
    <x v="10"/>
  </r>
  <r>
    <d v="2015-02-21T00:00:00"/>
    <n v="216.5"/>
    <s v="EN"/>
    <n v="0"/>
    <s v="l2"/>
    <x v="2"/>
  </r>
  <r>
    <d v="2015-02-21T00:00:00"/>
    <n v="216.5"/>
    <s v="EN"/>
    <n v="8"/>
    <s v="l2"/>
    <x v="2"/>
  </r>
  <r>
    <d v="2015-02-21T00:00:00"/>
    <n v="238.3"/>
    <s v="SVR"/>
    <n v="8"/>
    <s v="l1"/>
    <x v="0"/>
  </r>
  <r>
    <d v="2015-02-21T00:00:00"/>
    <n v="256.7"/>
    <s v="NN"/>
    <n v="8"/>
    <s v="l2"/>
    <x v="4"/>
  </r>
  <r>
    <d v="2015-02-21T00:00:00"/>
    <n v="231.9"/>
    <s v="EN"/>
    <n v="0"/>
    <s v="l2"/>
    <x v="5"/>
  </r>
  <r>
    <d v="2015-02-21T00:00:00"/>
    <n v="231.9"/>
    <s v="EN"/>
    <n v="8"/>
    <s v="l2"/>
    <x v="5"/>
  </r>
  <r>
    <d v="2015-02-21T00:00:00"/>
    <n v="208.9"/>
    <s v="SVR"/>
    <n v="8"/>
    <s v="l1"/>
    <x v="3"/>
  </r>
  <r>
    <d v="2015-02-21T00:00:00"/>
    <n v="231.9"/>
    <s v="NN"/>
    <n v="8"/>
    <s v="l2"/>
    <x v="5"/>
  </r>
  <r>
    <d v="2015-02-22T00:00:00"/>
    <n v="207.9"/>
    <s v="EN"/>
    <n v="0"/>
    <s v="l2"/>
    <x v="3"/>
  </r>
  <r>
    <d v="2015-02-22T00:00:00"/>
    <n v="188.7"/>
    <s v="EN"/>
    <n v="8"/>
    <s v="l2"/>
    <x v="7"/>
  </r>
  <r>
    <d v="2015-02-22T00:00:00"/>
    <n v="205.3"/>
    <s v="SVR"/>
    <n v="8"/>
    <s v="l1"/>
    <x v="3"/>
  </r>
  <r>
    <d v="2015-02-22T00:00:00"/>
    <n v="189"/>
    <s v="NN"/>
    <n v="8"/>
    <s v="l2"/>
    <x v="7"/>
  </r>
  <r>
    <d v="2015-02-23T00:00:00"/>
    <n v="200.7"/>
    <s v="EN"/>
    <n v="0"/>
    <s v="l2"/>
    <x v="12"/>
  </r>
  <r>
    <d v="2015-02-23T00:00:00"/>
    <n v="200.7"/>
    <s v="EN"/>
    <n v="8"/>
    <s v="l2"/>
    <x v="12"/>
  </r>
  <r>
    <d v="2015-02-23T00:00:00"/>
    <n v="158.1"/>
    <s v="SVR"/>
    <n v="8"/>
    <s v="l1"/>
    <x v="9"/>
  </r>
  <r>
    <d v="2015-02-23T00:00:00"/>
    <n v="212.7"/>
    <s v="NN"/>
    <n v="8"/>
    <s v="l2"/>
    <x v="3"/>
  </r>
  <r>
    <d v="2015-02-24T00:00:00"/>
    <n v="218.3"/>
    <s v="EN"/>
    <n v="0"/>
    <s v="l2"/>
    <x v="2"/>
  </r>
  <r>
    <d v="2015-02-24T00:00:00"/>
    <n v="231.9"/>
    <s v="EN"/>
    <n v="8"/>
    <s v="l2"/>
    <x v="5"/>
  </r>
  <r>
    <d v="2015-02-24T00:00:00"/>
    <n v="246.3"/>
    <s v="SVR"/>
    <n v="8"/>
    <s v="l1"/>
    <x v="6"/>
  </r>
  <r>
    <d v="2015-02-24T00:00:00"/>
    <n v="218.5"/>
    <s v="NN"/>
    <n v="8"/>
    <s v="l2"/>
    <x v="2"/>
  </r>
  <r>
    <d v="2015-02-25T00:00:00"/>
    <n v="221"/>
    <s v="EN"/>
    <n v="0"/>
    <s v="l2"/>
    <x v="2"/>
  </r>
  <r>
    <d v="2015-02-25T00:00:00"/>
    <n v="188"/>
    <s v="EN"/>
    <n v="8"/>
    <s v="l2"/>
    <x v="7"/>
  </r>
  <r>
    <d v="2015-02-25T00:00:00"/>
    <n v="209.1"/>
    <s v="SVR"/>
    <n v="8"/>
    <s v="l1"/>
    <x v="3"/>
  </r>
  <r>
    <d v="2015-02-25T00:00:00"/>
    <n v="192"/>
    <s v="NN"/>
    <n v="8"/>
    <s v="l2"/>
    <x v="7"/>
  </r>
  <r>
    <d v="2015-02-27T00:00:00"/>
    <n v="171.4"/>
    <s v="EN"/>
    <n v="0"/>
    <s v="l2"/>
    <x v="1"/>
  </r>
  <r>
    <d v="2015-02-27T00:00:00"/>
    <n v="171.4"/>
    <s v="EN"/>
    <n v="8"/>
    <s v="l2"/>
    <x v="1"/>
  </r>
  <r>
    <d v="2015-02-27T00:00:00"/>
    <n v="174.2"/>
    <s v="SVR"/>
    <n v="8"/>
    <s v="l1"/>
    <x v="1"/>
  </r>
  <r>
    <d v="2015-02-27T00:00:00"/>
    <n v="184.7"/>
    <s v="NN"/>
    <n v="8"/>
    <s v="l2"/>
    <x v="10"/>
  </r>
  <r>
    <d v="2015-02-28T00:00:00"/>
    <n v="228.1"/>
    <s v="EN"/>
    <n v="0"/>
    <s v="l2"/>
    <x v="5"/>
  </r>
  <r>
    <d v="2015-02-28T00:00:00"/>
    <n v="206.5"/>
    <s v="EN"/>
    <n v="8"/>
    <s v="l2"/>
    <x v="3"/>
  </r>
  <r>
    <d v="2015-02-28T00:00:00"/>
    <n v="221.9"/>
    <s v="SVR"/>
    <n v="8"/>
    <s v="l1"/>
    <x v="2"/>
  </r>
  <r>
    <d v="2015-02-28T00:00:00"/>
    <n v="221.9"/>
    <s v="NN"/>
    <n v="8"/>
    <s v="l2"/>
    <x v="2"/>
  </r>
  <r>
    <d v="2015-03-01T00:00:00"/>
    <n v="235.7"/>
    <s v="EN"/>
    <n v="0"/>
    <s v="l2"/>
    <x v="0"/>
  </r>
  <r>
    <d v="2015-03-01T00:00:00"/>
    <n v="205.8"/>
    <s v="EN"/>
    <n v="8"/>
    <s v="l2"/>
    <x v="3"/>
  </r>
  <r>
    <d v="2015-03-01T00:00:00"/>
    <n v="257.2"/>
    <s v="SVR"/>
    <n v="8"/>
    <s v="l1"/>
    <x v="4"/>
  </r>
  <r>
    <d v="2015-03-01T00:00:00"/>
    <n v="206"/>
    <s v="NN"/>
    <n v="8"/>
    <s v="l2"/>
    <x v="3"/>
  </r>
  <r>
    <d v="2015-03-01T00:00:00"/>
    <n v="202.2"/>
    <s v="EN"/>
    <n v="0"/>
    <s v="l2"/>
    <x v="12"/>
  </r>
  <r>
    <d v="2015-03-01T00:00:00"/>
    <n v="202.2"/>
    <s v="EN"/>
    <n v="8"/>
    <s v="l2"/>
    <x v="12"/>
  </r>
  <r>
    <d v="2015-03-01T00:00:00"/>
    <n v="185.9"/>
    <s v="SVR"/>
    <n v="8"/>
    <s v="l1"/>
    <x v="7"/>
  </r>
  <r>
    <d v="2015-03-01T00:00:00"/>
    <n v="202.2"/>
    <s v="NN"/>
    <n v="8"/>
    <s v="l2"/>
    <x v="12"/>
  </r>
  <r>
    <d v="2015-03-02T00:00:00"/>
    <n v="202.1"/>
    <s v="EN"/>
    <n v="0"/>
    <s v="l2"/>
    <x v="12"/>
  </r>
  <r>
    <d v="2015-03-02T00:00:00"/>
    <n v="202.1"/>
    <s v="EN"/>
    <n v="8"/>
    <s v="l2"/>
    <x v="12"/>
  </r>
  <r>
    <d v="2015-03-02T00:00:00"/>
    <n v="197.4"/>
    <s v="SVR"/>
    <n v="8"/>
    <s v="l1"/>
    <x v="12"/>
  </r>
  <r>
    <d v="2015-03-02T00:00:00"/>
    <n v="202.1"/>
    <s v="NN"/>
    <n v="8"/>
    <s v="l2"/>
    <x v="12"/>
  </r>
  <r>
    <d v="2015-03-03T00:00:00"/>
    <n v="182.4"/>
    <s v="EN"/>
    <n v="0"/>
    <s v="l2"/>
    <x v="10"/>
  </r>
  <r>
    <d v="2015-03-03T00:00:00"/>
    <n v="216.7"/>
    <s v="EN"/>
    <n v="8"/>
    <s v="l2"/>
    <x v="2"/>
  </r>
  <r>
    <d v="2015-03-03T00:00:00"/>
    <n v="206.5"/>
    <s v="SVR"/>
    <n v="8"/>
    <s v="l1"/>
    <x v="3"/>
  </r>
  <r>
    <d v="2015-03-03T00:00:00"/>
    <n v="225"/>
    <s v="NN"/>
    <n v="8"/>
    <s v="l2"/>
    <x v="5"/>
  </r>
  <r>
    <d v="2015-03-04T00:00:00"/>
    <n v="245.1"/>
    <s v="EN"/>
    <n v="0"/>
    <s v="l2"/>
    <x v="6"/>
  </r>
  <r>
    <d v="2015-03-04T00:00:00"/>
    <n v="274.89999999999998"/>
    <s v="EN"/>
    <n v="8"/>
    <s v="l2"/>
    <x v="11"/>
  </r>
  <r>
    <d v="2015-03-04T00:00:00"/>
    <n v="273.89999999999998"/>
    <s v="SVR"/>
    <n v="8"/>
    <s v="l1"/>
    <x v="11"/>
  </r>
  <r>
    <d v="2015-03-04T00:00:00"/>
    <n v="247.8"/>
    <s v="NN"/>
    <n v="8"/>
    <s v="l2"/>
    <x v="6"/>
  </r>
  <r>
    <d v="2015-03-05T00:00:00"/>
    <n v="207.9"/>
    <s v="EN"/>
    <n v="0"/>
    <s v="l2"/>
    <x v="3"/>
  </r>
  <r>
    <d v="2015-03-05T00:00:00"/>
    <n v="234.1"/>
    <s v="EN"/>
    <n v="8"/>
    <s v="l2"/>
    <x v="5"/>
  </r>
  <r>
    <d v="2015-03-05T00:00:00"/>
    <n v="218.9"/>
    <s v="SVR"/>
    <n v="8"/>
    <s v="l1"/>
    <x v="2"/>
  </r>
  <r>
    <d v="2015-03-05T00:00:00"/>
    <n v="219.1"/>
    <s v="NN"/>
    <n v="8"/>
    <s v="l2"/>
    <x v="2"/>
  </r>
  <r>
    <d v="2015-03-07T00:00:00"/>
    <n v="256"/>
    <s v="EN"/>
    <n v="0"/>
    <s v="l2"/>
    <x v="4"/>
  </r>
  <r>
    <d v="2015-03-07T00:00:00"/>
    <n v="271.2"/>
    <s v="EN"/>
    <n v="8"/>
    <s v="l2"/>
    <x v="11"/>
  </r>
  <r>
    <d v="2015-03-07T00:00:00"/>
    <n v="273.39999999999998"/>
    <s v="SVR"/>
    <n v="8"/>
    <s v="l1"/>
    <x v="11"/>
  </r>
  <r>
    <d v="2015-03-07T00:00:00"/>
    <n v="302.3"/>
    <s v="NN"/>
    <n v="8"/>
    <s v="l2"/>
    <x v="15"/>
  </r>
  <r>
    <d v="2015-03-07T00:00:00"/>
    <n v="274.3"/>
    <s v="EN"/>
    <n v="0"/>
    <s v="l2"/>
    <x v="11"/>
  </r>
  <r>
    <d v="2015-03-07T00:00:00"/>
    <n v="263.60000000000002"/>
    <s v="EN"/>
    <n v="8"/>
    <s v="l2"/>
    <x v="4"/>
  </r>
  <r>
    <d v="2015-03-07T00:00:00"/>
    <n v="265.3"/>
    <s v="SVR"/>
    <n v="8"/>
    <s v="l1"/>
    <x v="11"/>
  </r>
  <r>
    <d v="2015-03-07T00:00:00"/>
    <n v="274.3"/>
    <s v="NN"/>
    <n v="8"/>
    <s v="l2"/>
    <x v="11"/>
  </r>
  <r>
    <d v="2015-03-08T00:00:00"/>
    <n v="217.1"/>
    <s v="EN"/>
    <n v="0"/>
    <s v="l2"/>
    <x v="2"/>
  </r>
  <r>
    <d v="2015-03-08T00:00:00"/>
    <n v="196"/>
    <s v="EN"/>
    <n v="8"/>
    <s v="l2"/>
    <x v="12"/>
  </r>
  <r>
    <d v="2015-03-08T00:00:00"/>
    <n v="214"/>
    <s v="SVR"/>
    <n v="8"/>
    <s v="l1"/>
    <x v="3"/>
  </r>
  <r>
    <d v="2015-03-08T00:00:00"/>
    <n v="201.4"/>
    <s v="NN"/>
    <n v="8"/>
    <s v="l2"/>
    <x v="12"/>
  </r>
  <r>
    <d v="2015-03-10T00:00:00"/>
    <n v="237.2"/>
    <s v="EN"/>
    <n v="0"/>
    <s v="l2"/>
    <x v="0"/>
  </r>
  <r>
    <d v="2015-03-10T00:00:00"/>
    <n v="237.2"/>
    <s v="EN"/>
    <n v="8"/>
    <s v="l2"/>
    <x v="0"/>
  </r>
  <r>
    <d v="2015-03-10T00:00:00"/>
    <n v="216.8"/>
    <s v="SVR"/>
    <n v="8"/>
    <s v="l1"/>
    <x v="2"/>
  </r>
  <r>
    <d v="2015-03-10T00:00:00"/>
    <n v="237.2"/>
    <s v="NN"/>
    <n v="8"/>
    <s v="l2"/>
    <x v="0"/>
  </r>
  <r>
    <d v="2015-03-11T00:00:00"/>
    <n v="214.4"/>
    <s v="EN"/>
    <n v="0"/>
    <s v="l2"/>
    <x v="3"/>
  </r>
  <r>
    <d v="2015-03-11T00:00:00"/>
    <n v="225.9"/>
    <s v="EN"/>
    <n v="8"/>
    <s v="l2"/>
    <x v="5"/>
  </r>
  <r>
    <d v="2015-03-11T00:00:00"/>
    <n v="234.2"/>
    <s v="SVR"/>
    <n v="8"/>
    <s v="l1"/>
    <x v="5"/>
  </r>
  <r>
    <d v="2015-03-11T00:00:00"/>
    <n v="225.9"/>
    <s v="NN"/>
    <n v="8"/>
    <s v="l2"/>
    <x v="5"/>
  </r>
  <r>
    <d v="2015-03-11T00:00:00"/>
    <n v="245.9"/>
    <s v="EN"/>
    <n v="0"/>
    <s v="l2"/>
    <x v="6"/>
  </r>
  <r>
    <d v="2015-03-11T00:00:00"/>
    <n v="225.6"/>
    <s v="EN"/>
    <n v="8"/>
    <s v="l2"/>
    <x v="5"/>
  </r>
  <r>
    <d v="2015-03-11T00:00:00"/>
    <n v="199.6"/>
    <s v="SVR"/>
    <n v="8"/>
    <s v="l1"/>
    <x v="12"/>
  </r>
  <r>
    <d v="2015-03-11T00:00:00"/>
    <n v="227.6"/>
    <s v="NN"/>
    <n v="8"/>
    <s v="l2"/>
    <x v="5"/>
  </r>
  <r>
    <d v="2015-03-12T00:00:00"/>
    <n v="219.2"/>
    <s v="EN"/>
    <n v="0"/>
    <s v="l2"/>
    <x v="2"/>
  </r>
  <r>
    <d v="2015-03-12T00:00:00"/>
    <n v="221.4"/>
    <s v="EN"/>
    <n v="8"/>
    <s v="l2"/>
    <x v="2"/>
  </r>
  <r>
    <d v="2015-03-12T00:00:00"/>
    <n v="218.4"/>
    <s v="SVR"/>
    <n v="8"/>
    <s v="l1"/>
    <x v="2"/>
  </r>
  <r>
    <d v="2015-03-12T00:00:00"/>
    <n v="231.3"/>
    <s v="NN"/>
    <n v="8"/>
    <s v="l2"/>
    <x v="5"/>
  </r>
  <r>
    <d v="2015-03-13T00:00:00"/>
    <n v="203.6"/>
    <s v="EN"/>
    <n v="0"/>
    <s v="l2"/>
    <x v="12"/>
  </r>
  <r>
    <d v="2015-03-13T00:00:00"/>
    <n v="202.2"/>
    <s v="EN"/>
    <n v="8"/>
    <s v="l2"/>
    <x v="12"/>
  </r>
  <r>
    <d v="2015-03-13T00:00:00"/>
    <n v="186.6"/>
    <s v="SVR"/>
    <n v="8"/>
    <s v="l1"/>
    <x v="7"/>
  </r>
  <r>
    <d v="2015-03-13T00:00:00"/>
    <n v="180.9"/>
    <s v="NN"/>
    <n v="8"/>
    <s v="l2"/>
    <x v="10"/>
  </r>
  <r>
    <d v="2015-03-13T00:00:00"/>
    <n v="206.6"/>
    <s v="EN"/>
    <n v="0"/>
    <s v="l2"/>
    <x v="3"/>
  </r>
  <r>
    <d v="2015-03-13T00:00:00"/>
    <n v="219.8"/>
    <s v="EN"/>
    <n v="8"/>
    <s v="l2"/>
    <x v="2"/>
  </r>
  <r>
    <d v="2015-03-13T00:00:00"/>
    <n v="212.9"/>
    <s v="SVR"/>
    <n v="8"/>
    <s v="l1"/>
    <x v="3"/>
  </r>
  <r>
    <d v="2015-03-13T00:00:00"/>
    <n v="230.1"/>
    <s v="NN"/>
    <n v="8"/>
    <s v="l2"/>
    <x v="5"/>
  </r>
  <r>
    <d v="2015-03-14T00:00:00"/>
    <n v="135.4"/>
    <s v="EN"/>
    <n v="0"/>
    <s v="l2"/>
    <x v="16"/>
  </r>
  <r>
    <d v="2015-03-14T00:00:00"/>
    <n v="148.19999999999999"/>
    <s v="EN"/>
    <n v="8"/>
    <s v="l2"/>
    <x v="13"/>
  </r>
  <r>
    <d v="2015-03-14T00:00:00"/>
    <n v="167.2"/>
    <s v="SVR"/>
    <n v="8"/>
    <s v="l1"/>
    <x v="1"/>
  </r>
  <r>
    <d v="2015-03-14T00:00:00"/>
    <n v="157.1"/>
    <s v="NN"/>
    <n v="8"/>
    <s v="l2"/>
    <x v="9"/>
  </r>
  <r>
    <d v="2015-03-14T00:00:00"/>
    <n v="186.3"/>
    <s v="EN"/>
    <n v="0"/>
    <s v="l2"/>
    <x v="7"/>
  </r>
  <r>
    <d v="2015-03-14T00:00:00"/>
    <n v="186.3"/>
    <s v="EN"/>
    <n v="8"/>
    <s v="l2"/>
    <x v="7"/>
  </r>
  <r>
    <d v="2015-03-14T00:00:00"/>
    <n v="186.3"/>
    <s v="SVR"/>
    <n v="8"/>
    <s v="l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3:B22" firstHeaderRow="2" firstDataRow="2" firstDataCol="1"/>
  <pivotFields count="6">
    <pivotField numFmtId="14" showAll="0"/>
    <pivotField dataField="1" showAll="0"/>
    <pivotField showAll="0"/>
    <pivotField showAll="0"/>
    <pivotField showAll="0"/>
    <pivotField axis="axisRow" showAll="0">
      <items count="19">
        <item x="16"/>
        <item x="13"/>
        <item x="9"/>
        <item x="1"/>
        <item x="10"/>
        <item x="7"/>
        <item x="12"/>
        <item x="3"/>
        <item x="2"/>
        <item x="5"/>
        <item x="0"/>
        <item x="6"/>
        <item x="4"/>
        <item x="11"/>
        <item x="8"/>
        <item x="14"/>
        <item x="15"/>
        <item m="1" x="17"/>
        <item t="default"/>
      </items>
    </pivotField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score" fld="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duel.com/entry/DNGVRVWWO" TargetMode="External"/><Relationship Id="rId2" Type="http://schemas.openxmlformats.org/officeDocument/2006/relationships/hyperlink" Target="https://www.fanduel.com/entry/AVFNKNEGR" TargetMode="External"/><Relationship Id="rId3" Type="http://schemas.openxmlformats.org/officeDocument/2006/relationships/hyperlink" Target="https://www.fanduel.com/entry/AVFNKNE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K7" sqref="K7:K18"/>
    </sheetView>
  </sheetViews>
  <sheetFormatPr baseColWidth="10" defaultRowHeight="15" x14ac:dyDescent="0"/>
  <cols>
    <col min="2" max="2" width="14.1640625" customWidth="1"/>
    <col min="3" max="3" width="11.83203125" customWidth="1"/>
  </cols>
  <sheetData>
    <row r="1" spans="1:12" ht="53" customHeight="1">
      <c r="B1" s="25" t="s">
        <v>3</v>
      </c>
      <c r="C1" s="25"/>
      <c r="D1" s="25" t="s">
        <v>4</v>
      </c>
      <c r="E1" s="25"/>
      <c r="F1" s="25" t="s">
        <v>5</v>
      </c>
      <c r="G1" s="25"/>
      <c r="H1" s="25" t="s">
        <v>6</v>
      </c>
      <c r="I1" s="25"/>
      <c r="J1" s="25" t="s">
        <v>7</v>
      </c>
      <c r="K1" s="25"/>
    </row>
    <row r="2" spans="1:12" ht="15" customHeight="1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</row>
    <row r="3" spans="1:12" ht="15" customHeight="1">
      <c r="A3" s="1">
        <v>42019</v>
      </c>
      <c r="B3" s="3">
        <v>222.26</v>
      </c>
      <c r="C3" s="3">
        <v>235.4</v>
      </c>
      <c r="D3" s="3">
        <v>220.3</v>
      </c>
      <c r="E3" s="3">
        <v>230</v>
      </c>
      <c r="F3" s="3"/>
      <c r="G3" s="3"/>
      <c r="H3" s="3"/>
      <c r="I3" s="3"/>
      <c r="J3" s="3"/>
      <c r="K3" s="3"/>
      <c r="L3" s="2"/>
    </row>
    <row r="4" spans="1:12" ht="15" customHeight="1">
      <c r="A4" s="1">
        <v>42020</v>
      </c>
      <c r="B4" s="3">
        <v>208.65</v>
      </c>
      <c r="C4" s="3">
        <v>170.9</v>
      </c>
      <c r="D4" s="3">
        <v>206.87</v>
      </c>
      <c r="E4" s="3">
        <v>172.8</v>
      </c>
      <c r="F4" s="3"/>
      <c r="G4" s="3"/>
      <c r="H4" s="3"/>
      <c r="I4" s="3"/>
      <c r="J4" s="3"/>
      <c r="K4" s="3"/>
      <c r="L4" s="2"/>
    </row>
    <row r="5" spans="1:12" ht="15" customHeight="1">
      <c r="A5" s="1">
        <v>42020</v>
      </c>
      <c r="B5" s="3">
        <v>221.04</v>
      </c>
      <c r="C5" s="3">
        <v>219.7</v>
      </c>
      <c r="D5" s="3">
        <v>219.74</v>
      </c>
      <c r="E5" s="3">
        <v>219.7</v>
      </c>
      <c r="F5" s="3"/>
      <c r="G5" s="3"/>
      <c r="H5" s="3"/>
      <c r="I5" s="3"/>
      <c r="J5" s="3"/>
      <c r="K5" s="3"/>
      <c r="L5" s="2"/>
    </row>
    <row r="6" spans="1:12" ht="15" customHeight="1">
      <c r="A6" s="1">
        <v>42021</v>
      </c>
      <c r="B6" s="4">
        <v>213.77</v>
      </c>
      <c r="C6" s="4">
        <v>240.4</v>
      </c>
      <c r="D6" s="5">
        <v>213.63</v>
      </c>
      <c r="E6" s="5">
        <v>192.3</v>
      </c>
      <c r="F6" s="5">
        <v>214.21</v>
      </c>
      <c r="G6" s="5">
        <v>192.3</v>
      </c>
      <c r="H6" s="5">
        <v>215.82</v>
      </c>
      <c r="I6" s="5">
        <v>192.3</v>
      </c>
      <c r="J6" s="6"/>
      <c r="K6" s="6"/>
      <c r="L6" s="2"/>
    </row>
    <row r="7" spans="1:12" ht="15" customHeight="1">
      <c r="A7" s="1">
        <v>42022</v>
      </c>
      <c r="B7" s="7">
        <v>209.59</v>
      </c>
      <c r="C7" s="7">
        <v>206.4</v>
      </c>
      <c r="D7" s="7">
        <v>208.72</v>
      </c>
      <c r="E7" s="7">
        <v>206.4</v>
      </c>
      <c r="F7" s="7">
        <v>209.83</v>
      </c>
      <c r="G7" s="7">
        <v>206.4</v>
      </c>
      <c r="H7" s="7">
        <v>209.31</v>
      </c>
      <c r="I7" s="7">
        <v>206.4</v>
      </c>
      <c r="J7" s="8">
        <v>206.45</v>
      </c>
      <c r="K7" s="8">
        <v>243.3</v>
      </c>
      <c r="L7" s="2"/>
    </row>
    <row r="8" spans="1:12">
      <c r="A8" s="1">
        <v>42023</v>
      </c>
      <c r="B8" s="7">
        <v>218.3</v>
      </c>
      <c r="C8" s="7">
        <v>256.2</v>
      </c>
      <c r="D8" s="8">
        <v>216.55</v>
      </c>
      <c r="E8" s="8">
        <v>258.7</v>
      </c>
      <c r="F8" s="5">
        <v>217.97</v>
      </c>
      <c r="G8" s="5">
        <v>253.8</v>
      </c>
      <c r="H8" s="4">
        <v>217.45</v>
      </c>
      <c r="I8" s="4">
        <v>275.2</v>
      </c>
      <c r="J8" s="9">
        <v>214.36</v>
      </c>
      <c r="K8" s="9">
        <v>249.7</v>
      </c>
      <c r="L8" s="2"/>
    </row>
    <row r="9" spans="1:12">
      <c r="A9" s="1">
        <v>42024</v>
      </c>
      <c r="B9" s="10">
        <v>231.67</v>
      </c>
      <c r="C9" s="10">
        <v>225.5</v>
      </c>
      <c r="D9" s="11">
        <v>221.95</v>
      </c>
      <c r="E9" s="11">
        <v>226.9</v>
      </c>
      <c r="F9" s="11">
        <v>232.12</v>
      </c>
      <c r="G9" s="11">
        <v>226.9</v>
      </c>
      <c r="H9" s="11">
        <v>230.82</v>
      </c>
      <c r="I9" s="11">
        <v>226.9</v>
      </c>
      <c r="J9" s="11">
        <v>228.3</v>
      </c>
      <c r="K9" s="11">
        <v>226.9</v>
      </c>
      <c r="L9" s="2"/>
    </row>
    <row r="10" spans="1:12">
      <c r="A10" s="1">
        <v>42024</v>
      </c>
      <c r="B10" s="7">
        <v>219.77</v>
      </c>
      <c r="C10" s="7">
        <v>247.5</v>
      </c>
      <c r="D10" s="8">
        <v>218.66</v>
      </c>
      <c r="E10" s="8">
        <v>225.9</v>
      </c>
      <c r="F10" s="5">
        <v>219.88</v>
      </c>
      <c r="G10" s="5">
        <v>248.4</v>
      </c>
      <c r="H10" s="4">
        <v>221.42</v>
      </c>
      <c r="I10" s="4">
        <v>249.7</v>
      </c>
      <c r="J10" s="9">
        <v>221.09</v>
      </c>
      <c r="K10" s="9">
        <v>240.9</v>
      </c>
      <c r="L10" s="2"/>
    </row>
    <row r="11" spans="1:12">
      <c r="A11" s="1">
        <v>42026</v>
      </c>
      <c r="B11" s="13">
        <v>223.72</v>
      </c>
      <c r="C11" s="13">
        <v>189.9</v>
      </c>
      <c r="D11" s="12">
        <v>224.08</v>
      </c>
      <c r="E11" s="12">
        <v>177</v>
      </c>
      <c r="F11" s="13">
        <v>224.29</v>
      </c>
      <c r="G11" s="13">
        <v>189.9</v>
      </c>
      <c r="H11" s="11">
        <v>226.23</v>
      </c>
      <c r="I11" s="11">
        <v>213.8</v>
      </c>
      <c r="J11" s="11">
        <v>224.41</v>
      </c>
      <c r="K11" s="11">
        <v>213.8</v>
      </c>
      <c r="L11" s="2"/>
    </row>
    <row r="12" spans="1:12">
      <c r="A12" s="1">
        <v>42027</v>
      </c>
      <c r="B12" s="14">
        <v>217.08</v>
      </c>
      <c r="C12" s="14">
        <v>281.3</v>
      </c>
      <c r="D12" s="2">
        <v>218.38</v>
      </c>
      <c r="E12" s="2">
        <v>231.8</v>
      </c>
      <c r="F12" s="13">
        <v>217.73</v>
      </c>
      <c r="G12" s="13">
        <v>271.5</v>
      </c>
      <c r="H12" s="15">
        <v>218.36</v>
      </c>
      <c r="I12" s="15">
        <v>252</v>
      </c>
      <c r="J12" s="2">
        <v>213.53</v>
      </c>
      <c r="K12" s="2">
        <v>243.6</v>
      </c>
      <c r="L12" s="2"/>
    </row>
    <row r="13" spans="1:12">
      <c r="A13" s="1">
        <v>41664</v>
      </c>
      <c r="B13" s="14">
        <v>221.06</v>
      </c>
      <c r="C13" s="14">
        <v>213.4</v>
      </c>
      <c r="D13" s="2">
        <v>222.23</v>
      </c>
      <c r="E13" s="2">
        <v>194.9</v>
      </c>
      <c r="F13" s="13">
        <v>221.33</v>
      </c>
      <c r="G13" s="13">
        <v>205.9</v>
      </c>
      <c r="H13" s="14">
        <v>220.52</v>
      </c>
      <c r="I13" s="14">
        <v>227.9</v>
      </c>
      <c r="J13" s="2">
        <v>217.87</v>
      </c>
      <c r="K13" s="2">
        <v>173</v>
      </c>
      <c r="L13" s="2"/>
    </row>
    <row r="14" spans="1:12">
      <c r="A14" s="1">
        <v>41664</v>
      </c>
      <c r="B14" s="14">
        <v>213.33</v>
      </c>
      <c r="C14" s="14">
        <v>214.8</v>
      </c>
      <c r="D14">
        <v>213.2</v>
      </c>
      <c r="E14">
        <v>214.8</v>
      </c>
      <c r="F14" s="13">
        <v>213.68</v>
      </c>
      <c r="G14" s="13">
        <v>213.5</v>
      </c>
      <c r="H14" s="15">
        <v>214.21</v>
      </c>
      <c r="I14" s="15">
        <v>215.8</v>
      </c>
      <c r="J14">
        <v>212.88</v>
      </c>
      <c r="K14">
        <v>186.6</v>
      </c>
    </row>
    <row r="15" spans="1:12" ht="15" customHeight="1">
      <c r="A15" s="1">
        <v>41667</v>
      </c>
      <c r="B15" s="14">
        <v>222.08</v>
      </c>
      <c r="C15" s="14">
        <v>207.2</v>
      </c>
      <c r="D15">
        <v>220.99</v>
      </c>
      <c r="E15">
        <v>208.3</v>
      </c>
      <c r="F15" s="13">
        <v>223.57</v>
      </c>
      <c r="G15" s="13">
        <v>202</v>
      </c>
      <c r="H15" s="14">
        <v>224.09</v>
      </c>
      <c r="I15" s="14">
        <v>213.8</v>
      </c>
      <c r="J15">
        <v>225.3</v>
      </c>
      <c r="K15">
        <v>199.6</v>
      </c>
    </row>
    <row r="16" spans="1:12">
      <c r="A16" s="1">
        <v>41666</v>
      </c>
      <c r="B16" s="14">
        <v>215.25</v>
      </c>
      <c r="C16" s="14">
        <v>162.4</v>
      </c>
      <c r="D16">
        <v>215.11</v>
      </c>
      <c r="E16">
        <v>166.8</v>
      </c>
      <c r="F16" s="13">
        <v>215.53</v>
      </c>
      <c r="G16" s="13">
        <v>152.30000000000001</v>
      </c>
      <c r="H16" s="15">
        <v>214.09</v>
      </c>
      <c r="I16" s="15">
        <v>163.30000000000001</v>
      </c>
      <c r="J16">
        <v>213.46</v>
      </c>
      <c r="K16">
        <v>177.9</v>
      </c>
    </row>
    <row r="17" spans="1:11">
      <c r="A17" s="1">
        <v>41665</v>
      </c>
      <c r="B17" s="14">
        <v>197.97</v>
      </c>
      <c r="C17" s="14">
        <v>249.2</v>
      </c>
      <c r="D17">
        <v>194.03</v>
      </c>
      <c r="E17">
        <v>270</v>
      </c>
      <c r="F17" s="14">
        <v>197.97</v>
      </c>
      <c r="G17" s="14">
        <v>249.2</v>
      </c>
      <c r="H17">
        <v>196.54</v>
      </c>
      <c r="I17">
        <v>220.7</v>
      </c>
      <c r="J17">
        <v>196.54</v>
      </c>
      <c r="K17">
        <v>220.7</v>
      </c>
    </row>
    <row r="18" spans="1:11">
      <c r="A18" s="1">
        <v>41665</v>
      </c>
      <c r="B18" s="14">
        <v>201.61</v>
      </c>
      <c r="C18" s="14">
        <v>191.1</v>
      </c>
      <c r="D18">
        <v>201.95</v>
      </c>
      <c r="E18" s="14">
        <v>191.1</v>
      </c>
      <c r="F18" s="13">
        <v>201.97</v>
      </c>
      <c r="G18" s="14">
        <v>191.1</v>
      </c>
      <c r="H18">
        <v>203.34</v>
      </c>
      <c r="I18" s="14">
        <v>191.1</v>
      </c>
      <c r="J18">
        <v>201.49</v>
      </c>
      <c r="K18">
        <v>188.2</v>
      </c>
    </row>
    <row r="30" spans="1:11">
      <c r="B30">
        <f>AVERAGE(B3:B18)</f>
        <v>216.07187499999998</v>
      </c>
      <c r="C30">
        <f>AVERAGE(C3:C18)</f>
        <v>219.45625000000001</v>
      </c>
      <c r="D30">
        <f t="shared" ref="D30:K30" si="0">AVERAGE(D3:D13)</f>
        <v>217.37363636363636</v>
      </c>
      <c r="E30">
        <f t="shared" si="0"/>
        <v>212.4</v>
      </c>
      <c r="F30">
        <f>AVERAGE(F3:F16)</f>
        <v>219.10363636363638</v>
      </c>
      <c r="G30">
        <f>AVERAGE(G3:G16)</f>
        <v>214.80909090909097</v>
      </c>
      <c r="H30">
        <f>AVERAGE(H3:H16)</f>
        <v>219.30181818181819</v>
      </c>
      <c r="I30">
        <f>AVERAGE(I3:I16)</f>
        <v>221.55454545454549</v>
      </c>
      <c r="J30">
        <f t="shared" si="0"/>
        <v>218.00142857142859</v>
      </c>
      <c r="K30">
        <f t="shared" si="0"/>
        <v>227.31428571428569</v>
      </c>
    </row>
    <row r="31" spans="1:11">
      <c r="B31">
        <f>STDEV(B3:B18)</f>
        <v>8.535498594106846</v>
      </c>
      <c r="C31">
        <f>STDEV(C3:C18)</f>
        <v>31.880128999111687</v>
      </c>
      <c r="D31">
        <f t="shared" ref="D31:K31" si="1">STDEV(D3:D10)</f>
        <v>5.566716780498691</v>
      </c>
      <c r="E31">
        <f t="shared" si="1"/>
        <v>26.096329106928799</v>
      </c>
      <c r="F31">
        <f>STDEV(F3:F16)</f>
        <v>6.1411615720924839</v>
      </c>
      <c r="G31">
        <f>STDEV(G3:G16)</f>
        <v>33.703218082119108</v>
      </c>
      <c r="H31">
        <f t="shared" si="1"/>
        <v>7.936833751566172</v>
      </c>
      <c r="I31">
        <f t="shared" si="1"/>
        <v>33.237554061633368</v>
      </c>
      <c r="J31">
        <f t="shared" si="1"/>
        <v>9.3359555840131758</v>
      </c>
      <c r="K31">
        <f t="shared" si="1"/>
        <v>9.6131853895227284</v>
      </c>
    </row>
  </sheetData>
  <mergeCells count="5">
    <mergeCell ref="B1:C1"/>
    <mergeCell ref="D1:E1"/>
    <mergeCell ref="F1:G1"/>
    <mergeCell ref="H1:I1"/>
    <mergeCell ref="J1:K1"/>
  </mergeCells>
  <conditionalFormatting sqref="B30:K30">
    <cfRule type="colorScale" priority="1">
      <colorScale>
        <cfvo type="min"/>
        <cfvo type="percentile" val="50"/>
        <cfvo type="max"/>
        <color rgb="FFFF7128"/>
        <color rgb="FFFFEB84"/>
        <color rgb="FF63BE7B"/>
      </colorScale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2"/>
  <sheetViews>
    <sheetView workbookViewId="0">
      <selection activeCell="T10" sqref="T10"/>
    </sheetView>
  </sheetViews>
  <sheetFormatPr baseColWidth="10" defaultRowHeight="15" x14ac:dyDescent="0"/>
  <cols>
    <col min="1" max="1" width="13.1640625" customWidth="1"/>
    <col min="2" max="2" width="5.33203125" customWidth="1"/>
    <col min="3" max="5" width="6.1640625" bestFit="1" customWidth="1"/>
    <col min="6" max="6" width="7.1640625" bestFit="1" customWidth="1"/>
    <col min="7" max="7" width="6.1640625" bestFit="1" customWidth="1"/>
    <col min="8" max="12" width="7.1640625" bestFit="1" customWidth="1"/>
    <col min="13" max="15" width="6.1640625" bestFit="1" customWidth="1"/>
  </cols>
  <sheetData>
    <row r="2" spans="1:23">
      <c r="V2">
        <v>140</v>
      </c>
      <c r="W2">
        <f>_xlfn.NORM.DIST(V2,Sheet4!$J$2,Sheet4!$J$3,FALSE)</f>
        <v>5.833943838728403E-4</v>
      </c>
    </row>
    <row r="3" spans="1:23">
      <c r="A3" s="16" t="s">
        <v>21</v>
      </c>
      <c r="V3">
        <v>150</v>
      </c>
      <c r="W3">
        <f>_xlfn.NORM.DIST(V3,Sheet4!$J$2,Sheet4!$J$3,FALSE)</f>
        <v>1.2671420674657372E-3</v>
      </c>
    </row>
    <row r="4" spans="1:23">
      <c r="A4" s="16" t="s">
        <v>9</v>
      </c>
      <c r="B4" t="s">
        <v>11</v>
      </c>
      <c r="V4">
        <v>160</v>
      </c>
      <c r="W4">
        <f>_xlfn.NORM.DIST(V4,Sheet4!$J$2,Sheet4!$J$3,FALSE)</f>
        <v>2.464308700224304E-3</v>
      </c>
    </row>
    <row r="5" spans="1:23">
      <c r="A5" s="17">
        <v>140</v>
      </c>
      <c r="B5" s="18">
        <v>1</v>
      </c>
      <c r="V5">
        <v>170</v>
      </c>
      <c r="W5">
        <f>_xlfn.NORM.DIST(V5,Sheet4!$J$2,Sheet4!$J$3,FALSE)</f>
        <v>4.2911297603169269E-3</v>
      </c>
    </row>
    <row r="6" spans="1:23">
      <c r="A6" s="17">
        <v>150</v>
      </c>
      <c r="B6" s="18">
        <v>5</v>
      </c>
      <c r="V6">
        <v>180</v>
      </c>
      <c r="W6">
        <f>_xlfn.NORM.DIST(V6,Sheet4!$J$2,Sheet4!$J$3,FALSE)</f>
        <v>6.6904437015564699E-3</v>
      </c>
    </row>
    <row r="7" spans="1:23">
      <c r="A7" s="17">
        <v>160</v>
      </c>
      <c r="B7" s="18">
        <v>8</v>
      </c>
      <c r="V7">
        <v>190</v>
      </c>
      <c r="W7">
        <f>_xlfn.NORM.DIST(V7,Sheet4!$J$2,Sheet4!$J$3,FALSE)</f>
        <v>9.339958137331475E-3</v>
      </c>
    </row>
    <row r="8" spans="1:23">
      <c r="A8" s="17">
        <v>170</v>
      </c>
      <c r="B8" s="18">
        <v>16</v>
      </c>
      <c r="V8">
        <v>200</v>
      </c>
      <c r="W8">
        <f>_xlfn.NORM.DIST(V8,Sheet4!$J$2,Sheet4!$J$3,FALSE)</f>
        <v>1.1674591001755195E-2</v>
      </c>
    </row>
    <row r="9" spans="1:23">
      <c r="A9" s="17">
        <v>180</v>
      </c>
      <c r="B9" s="18">
        <v>14</v>
      </c>
      <c r="V9">
        <v>210</v>
      </c>
      <c r="W9">
        <f>_xlfn.NORM.DIST(V9,Sheet4!$J$2,Sheet4!$J$3,FALSE)</f>
        <v>1.3066075274766623E-2</v>
      </c>
    </row>
    <row r="10" spans="1:23">
      <c r="A10" s="17">
        <v>190</v>
      </c>
      <c r="B10" s="18">
        <v>30</v>
      </c>
      <c r="V10">
        <v>220</v>
      </c>
      <c r="W10">
        <f>_xlfn.NORM.DIST(V10,Sheet4!$J$2,Sheet4!$J$3,FALSE)</f>
        <v>1.3093488555359975E-2</v>
      </c>
    </row>
    <row r="11" spans="1:23">
      <c r="A11" s="17">
        <v>200</v>
      </c>
      <c r="B11" s="18">
        <v>23</v>
      </c>
      <c r="V11">
        <v>230</v>
      </c>
      <c r="W11">
        <f>_xlfn.NORM.DIST(V11,Sheet4!$J$2,Sheet4!$J$3,FALSE)</f>
        <v>1.174822690832303E-2</v>
      </c>
    </row>
    <row r="12" spans="1:23">
      <c r="A12" s="17">
        <v>210</v>
      </c>
      <c r="B12" s="18">
        <v>47</v>
      </c>
      <c r="V12">
        <v>240</v>
      </c>
      <c r="W12">
        <f>_xlfn.NORM.DIST(V12,Sheet4!$J$2,Sheet4!$J$3,FALSE)</f>
        <v>9.4383486291324814E-3</v>
      </c>
    </row>
    <row r="13" spans="1:23">
      <c r="A13" s="17">
        <v>220</v>
      </c>
      <c r="B13" s="18">
        <v>45</v>
      </c>
      <c r="V13">
        <v>250</v>
      </c>
      <c r="W13">
        <f>_xlfn.NORM.DIST(V13,Sheet4!$J$2,Sheet4!$J$3,FALSE)</f>
        <v>6.7893225233109453E-3</v>
      </c>
    </row>
    <row r="14" spans="1:23">
      <c r="A14" s="17">
        <v>230</v>
      </c>
      <c r="B14" s="18">
        <v>32</v>
      </c>
      <c r="V14">
        <v>260</v>
      </c>
      <c r="W14">
        <f>_xlfn.NORM.DIST(V14,Sheet4!$J$2,Sheet4!$J$3,FALSE)</f>
        <v>4.3728401420888028E-3</v>
      </c>
    </row>
    <row r="15" spans="1:23">
      <c r="A15" s="17">
        <v>240</v>
      </c>
      <c r="B15" s="18">
        <v>21</v>
      </c>
      <c r="V15">
        <v>270</v>
      </c>
      <c r="W15">
        <f>_xlfn.NORM.DIST(V15,Sheet4!$J$2,Sheet4!$J$3,FALSE)</f>
        <v>2.5217817541555222E-3</v>
      </c>
    </row>
    <row r="16" spans="1:23">
      <c r="A16" s="17">
        <v>250</v>
      </c>
      <c r="B16" s="18">
        <v>20</v>
      </c>
      <c r="V16">
        <v>280</v>
      </c>
      <c r="W16">
        <f>_xlfn.NORM.DIST(V16,Sheet4!$J$2,Sheet4!$J$3,FALSE)</f>
        <v>1.3021413525381874E-3</v>
      </c>
    </row>
    <row r="17" spans="1:23">
      <c r="A17" s="17">
        <v>260</v>
      </c>
      <c r="B17" s="18">
        <v>7</v>
      </c>
      <c r="V17">
        <v>290</v>
      </c>
      <c r="W17">
        <f>_xlfn.NORM.DIST(V17,Sheet4!$J$2,Sheet4!$J$3,FALSE)</f>
        <v>6.0202634987210196E-4</v>
      </c>
    </row>
    <row r="18" spans="1:23">
      <c r="A18" s="17">
        <v>270</v>
      </c>
      <c r="B18" s="18">
        <v>17</v>
      </c>
      <c r="V18">
        <v>300</v>
      </c>
      <c r="W18">
        <f>_xlfn.NORM.DIST(V18,Sheet4!$J$2,Sheet4!$J$3,FALSE)</f>
        <v>2.4921811401980315E-4</v>
      </c>
    </row>
    <row r="19" spans="1:23">
      <c r="A19" s="17">
        <v>280</v>
      </c>
      <c r="B19" s="18">
        <v>2</v>
      </c>
    </row>
    <row r="20" spans="1:23">
      <c r="A20" s="17">
        <v>290</v>
      </c>
      <c r="B20" s="18">
        <v>1</v>
      </c>
    </row>
    <row r="21" spans="1:23">
      <c r="A21" s="17">
        <v>300</v>
      </c>
      <c r="B21" s="18">
        <v>1</v>
      </c>
    </row>
    <row r="22" spans="1:23">
      <c r="A22" s="17" t="s">
        <v>10</v>
      </c>
      <c r="B22" s="18">
        <v>290</v>
      </c>
    </row>
  </sheetData>
  <sortState ref="A3:B22">
    <sortCondition ref="A12"/>
  </sortState>
  <pageMargins left="0.75" right="0.75" top="1" bottom="1" header="0.5" footer="0.5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1" topLeftCell="A285" workbookViewId="0">
      <selection activeCell="G300" sqref="G300"/>
    </sheetView>
  </sheetViews>
  <sheetFormatPr baseColWidth="10" defaultRowHeight="15" x14ac:dyDescent="0.75"/>
  <cols>
    <col min="7" max="7" width="24.6640625" bestFit="1" customWidth="1"/>
    <col min="11" max="11" width="12.1640625" bestFit="1" customWidth="1"/>
  </cols>
  <sheetData>
    <row r="1" spans="1:10">
      <c r="A1" s="19" t="s">
        <v>17</v>
      </c>
      <c r="B1" s="19" t="s">
        <v>18</v>
      </c>
      <c r="C1" s="19" t="s">
        <v>14</v>
      </c>
      <c r="D1" s="19" t="s">
        <v>15</v>
      </c>
      <c r="E1" s="19" t="s">
        <v>16</v>
      </c>
      <c r="F1" s="19" t="s">
        <v>8</v>
      </c>
      <c r="G1" s="19" t="s">
        <v>22</v>
      </c>
    </row>
    <row r="2" spans="1:10" ht="18">
      <c r="A2" s="21">
        <v>42019</v>
      </c>
      <c r="B2" s="19">
        <v>235.4</v>
      </c>
      <c r="C2" s="20" t="s">
        <v>12</v>
      </c>
      <c r="D2" s="20">
        <v>0</v>
      </c>
      <c r="E2" s="19" t="s">
        <v>13</v>
      </c>
      <c r="F2">
        <f>ROUND(B2/10,0)*10</f>
        <v>240</v>
      </c>
      <c r="I2">
        <v>0</v>
      </c>
      <c r="J2">
        <f>AVERAGE(B:B)</f>
        <v>215.18965517241392</v>
      </c>
    </row>
    <row r="3" spans="1:10" ht="18">
      <c r="A3" s="21">
        <v>42020</v>
      </c>
      <c r="B3" s="19">
        <v>170.9</v>
      </c>
      <c r="C3" s="20" t="s">
        <v>12</v>
      </c>
      <c r="D3" s="20">
        <v>0</v>
      </c>
      <c r="E3" s="19" t="s">
        <v>13</v>
      </c>
      <c r="F3">
        <f t="shared" ref="F3:F66" si="0">ROUND(B3/10,0)*10</f>
        <v>170</v>
      </c>
      <c r="I3">
        <v>0</v>
      </c>
      <c r="J3">
        <f>_xlfn.STDEV.S(B:B)</f>
        <v>30.081674804608173</v>
      </c>
    </row>
    <row r="4" spans="1:10" ht="18">
      <c r="A4" s="21">
        <v>42020</v>
      </c>
      <c r="B4" s="19">
        <v>219.7</v>
      </c>
      <c r="C4" s="20" t="s">
        <v>12</v>
      </c>
      <c r="D4" s="20">
        <v>0</v>
      </c>
      <c r="E4" s="19" t="s">
        <v>13</v>
      </c>
      <c r="F4">
        <f t="shared" si="0"/>
        <v>220</v>
      </c>
      <c r="I4">
        <v>0</v>
      </c>
    </row>
    <row r="5" spans="1:10" ht="18">
      <c r="A5" s="21">
        <v>42021</v>
      </c>
      <c r="B5" s="19">
        <v>240.4</v>
      </c>
      <c r="C5" s="20" t="s">
        <v>12</v>
      </c>
      <c r="D5" s="20">
        <v>0</v>
      </c>
      <c r="E5" s="19" t="s">
        <v>13</v>
      </c>
      <c r="F5">
        <f t="shared" si="0"/>
        <v>240</v>
      </c>
      <c r="I5">
        <v>0</v>
      </c>
    </row>
    <row r="6" spans="1:10" ht="18">
      <c r="A6" s="21">
        <v>42022</v>
      </c>
      <c r="B6" s="19">
        <v>206.4</v>
      </c>
      <c r="C6" s="20" t="s">
        <v>12</v>
      </c>
      <c r="D6" s="20">
        <v>0</v>
      </c>
      <c r="E6" s="19" t="s">
        <v>13</v>
      </c>
      <c r="F6">
        <f t="shared" si="0"/>
        <v>210</v>
      </c>
      <c r="I6">
        <v>0</v>
      </c>
    </row>
    <row r="7" spans="1:10" ht="18">
      <c r="A7" s="21">
        <v>42023</v>
      </c>
      <c r="B7" s="19">
        <v>256.2</v>
      </c>
      <c r="C7" s="20" t="s">
        <v>12</v>
      </c>
      <c r="D7" s="20">
        <v>0</v>
      </c>
      <c r="E7" s="19" t="s">
        <v>13</v>
      </c>
      <c r="F7">
        <f t="shared" si="0"/>
        <v>260</v>
      </c>
      <c r="I7">
        <v>0</v>
      </c>
    </row>
    <row r="8" spans="1:10" ht="18">
      <c r="A8" s="21">
        <v>42024</v>
      </c>
      <c r="B8" s="19">
        <v>225.5</v>
      </c>
      <c r="C8" s="20" t="s">
        <v>12</v>
      </c>
      <c r="D8" s="20">
        <v>0</v>
      </c>
      <c r="E8" s="19" t="s">
        <v>13</v>
      </c>
      <c r="F8">
        <f t="shared" si="0"/>
        <v>230</v>
      </c>
      <c r="I8">
        <v>0</v>
      </c>
    </row>
    <row r="9" spans="1:10" ht="18">
      <c r="A9" s="21">
        <v>42024</v>
      </c>
      <c r="B9" s="19">
        <v>247.5</v>
      </c>
      <c r="C9" s="20" t="s">
        <v>12</v>
      </c>
      <c r="D9" s="20">
        <v>0</v>
      </c>
      <c r="E9" s="19" t="s">
        <v>13</v>
      </c>
      <c r="F9">
        <f t="shared" si="0"/>
        <v>250</v>
      </c>
      <c r="I9">
        <v>0</v>
      </c>
    </row>
    <row r="10" spans="1:10" ht="18">
      <c r="A10" s="21">
        <v>42026</v>
      </c>
      <c r="B10" s="19">
        <v>189.9</v>
      </c>
      <c r="C10" s="20" t="s">
        <v>12</v>
      </c>
      <c r="D10" s="20">
        <v>0</v>
      </c>
      <c r="E10" s="19" t="s">
        <v>13</v>
      </c>
      <c r="F10">
        <f t="shared" si="0"/>
        <v>190</v>
      </c>
      <c r="I10">
        <v>0</v>
      </c>
    </row>
    <row r="11" spans="1:10" ht="18">
      <c r="A11" s="21">
        <v>42027</v>
      </c>
      <c r="B11" s="19">
        <v>281.3</v>
      </c>
      <c r="C11" s="20" t="s">
        <v>12</v>
      </c>
      <c r="D11" s="20">
        <v>0</v>
      </c>
      <c r="E11" s="19" t="s">
        <v>13</v>
      </c>
      <c r="F11">
        <f t="shared" si="0"/>
        <v>280</v>
      </c>
      <c r="I11">
        <v>0</v>
      </c>
    </row>
    <row r="12" spans="1:10" ht="18">
      <c r="A12" s="21">
        <v>41664</v>
      </c>
      <c r="B12" s="19">
        <v>213.4</v>
      </c>
      <c r="C12" s="20" t="s">
        <v>12</v>
      </c>
      <c r="D12" s="20">
        <v>0</v>
      </c>
      <c r="E12" s="19" t="s">
        <v>13</v>
      </c>
      <c r="F12">
        <f t="shared" si="0"/>
        <v>210</v>
      </c>
      <c r="I12">
        <v>0</v>
      </c>
    </row>
    <row r="13" spans="1:10" ht="18">
      <c r="A13" s="21">
        <v>41664</v>
      </c>
      <c r="B13" s="19">
        <v>214.8</v>
      </c>
      <c r="C13" s="20" t="s">
        <v>12</v>
      </c>
      <c r="D13" s="20">
        <v>0</v>
      </c>
      <c r="E13" s="19" t="s">
        <v>13</v>
      </c>
      <c r="F13">
        <f t="shared" si="0"/>
        <v>210</v>
      </c>
      <c r="I13">
        <v>0</v>
      </c>
    </row>
    <row r="14" spans="1:10" ht="18">
      <c r="A14" s="21">
        <v>41667</v>
      </c>
      <c r="B14" s="19">
        <v>207.2</v>
      </c>
      <c r="C14" s="20" t="s">
        <v>12</v>
      </c>
      <c r="D14" s="20">
        <v>0</v>
      </c>
      <c r="E14" s="19" t="s">
        <v>13</v>
      </c>
      <c r="F14">
        <f t="shared" si="0"/>
        <v>210</v>
      </c>
      <c r="I14">
        <v>0</v>
      </c>
    </row>
    <row r="15" spans="1:10" ht="18">
      <c r="A15" s="21">
        <v>41666</v>
      </c>
      <c r="B15" s="19">
        <v>162.4</v>
      </c>
      <c r="C15" s="20" t="s">
        <v>12</v>
      </c>
      <c r="D15" s="20">
        <v>0</v>
      </c>
      <c r="E15" s="19" t="s">
        <v>13</v>
      </c>
      <c r="F15">
        <f t="shared" si="0"/>
        <v>160</v>
      </c>
      <c r="I15">
        <v>0</v>
      </c>
    </row>
    <row r="16" spans="1:10" ht="18">
      <c r="A16" s="21">
        <v>41665</v>
      </c>
      <c r="B16" s="19">
        <v>249.2</v>
      </c>
      <c r="C16" s="20" t="s">
        <v>12</v>
      </c>
      <c r="D16" s="20">
        <v>0</v>
      </c>
      <c r="E16" s="19" t="s">
        <v>13</v>
      </c>
      <c r="F16">
        <f t="shared" si="0"/>
        <v>250</v>
      </c>
      <c r="I16">
        <v>0</v>
      </c>
    </row>
    <row r="17" spans="1:9" ht="18">
      <c r="A17" s="21">
        <v>41665</v>
      </c>
      <c r="B17" s="19">
        <v>191.1</v>
      </c>
      <c r="C17" s="20" t="s">
        <v>12</v>
      </c>
      <c r="D17" s="20">
        <v>0</v>
      </c>
      <c r="E17" s="19" t="s">
        <v>13</v>
      </c>
      <c r="F17">
        <f t="shared" si="0"/>
        <v>190</v>
      </c>
      <c r="I17">
        <v>0</v>
      </c>
    </row>
    <row r="18" spans="1:9" ht="18">
      <c r="A18" s="21">
        <v>42019</v>
      </c>
      <c r="B18" s="19">
        <v>230</v>
      </c>
      <c r="C18" s="20" t="s">
        <v>12</v>
      </c>
      <c r="D18" s="20">
        <v>8</v>
      </c>
      <c r="E18" s="19" t="s">
        <v>13</v>
      </c>
      <c r="F18">
        <f t="shared" si="0"/>
        <v>230</v>
      </c>
      <c r="I18">
        <v>0</v>
      </c>
    </row>
    <row r="19" spans="1:9" ht="18">
      <c r="A19" s="21">
        <v>42020</v>
      </c>
      <c r="B19" s="19">
        <v>172.8</v>
      </c>
      <c r="C19" s="20" t="s">
        <v>12</v>
      </c>
      <c r="D19" s="20">
        <v>8</v>
      </c>
      <c r="E19" s="19" t="s">
        <v>13</v>
      </c>
      <c r="F19">
        <f t="shared" si="0"/>
        <v>170</v>
      </c>
      <c r="I19">
        <v>0</v>
      </c>
    </row>
    <row r="20" spans="1:9" ht="18">
      <c r="A20" s="21">
        <v>42020</v>
      </c>
      <c r="B20" s="19">
        <v>219.7</v>
      </c>
      <c r="C20" s="20" t="s">
        <v>12</v>
      </c>
      <c r="D20" s="20">
        <v>8</v>
      </c>
      <c r="E20" s="19" t="s">
        <v>13</v>
      </c>
      <c r="F20">
        <f t="shared" si="0"/>
        <v>220</v>
      </c>
      <c r="I20">
        <v>0</v>
      </c>
    </row>
    <row r="21" spans="1:9" ht="18">
      <c r="A21" s="21">
        <v>42021</v>
      </c>
      <c r="B21" s="19">
        <v>192.3</v>
      </c>
      <c r="C21" s="20" t="s">
        <v>12</v>
      </c>
      <c r="D21" s="20">
        <v>8</v>
      </c>
      <c r="E21" s="19" t="s">
        <v>13</v>
      </c>
      <c r="F21">
        <f t="shared" si="0"/>
        <v>190</v>
      </c>
      <c r="I21">
        <v>0</v>
      </c>
    </row>
    <row r="22" spans="1:9" ht="18">
      <c r="A22" s="21">
        <v>42022</v>
      </c>
      <c r="B22" s="19">
        <v>206.4</v>
      </c>
      <c r="C22" s="20" t="s">
        <v>12</v>
      </c>
      <c r="D22" s="20">
        <v>8</v>
      </c>
      <c r="E22" s="19" t="s">
        <v>13</v>
      </c>
      <c r="F22">
        <f t="shared" si="0"/>
        <v>210</v>
      </c>
      <c r="I22">
        <v>0</v>
      </c>
    </row>
    <row r="23" spans="1:9" ht="18">
      <c r="A23" s="21">
        <v>42023</v>
      </c>
      <c r="B23" s="19">
        <v>258.7</v>
      </c>
      <c r="C23" s="20" t="s">
        <v>12</v>
      </c>
      <c r="D23" s="20">
        <v>8</v>
      </c>
      <c r="E23" s="19" t="s">
        <v>13</v>
      </c>
      <c r="F23">
        <f t="shared" si="0"/>
        <v>260</v>
      </c>
      <c r="I23">
        <v>0</v>
      </c>
    </row>
    <row r="24" spans="1:9" ht="18">
      <c r="A24" s="21">
        <v>42024</v>
      </c>
      <c r="B24" s="19">
        <v>226.9</v>
      </c>
      <c r="C24" s="20" t="s">
        <v>12</v>
      </c>
      <c r="D24" s="20">
        <v>8</v>
      </c>
      <c r="E24" s="19" t="s">
        <v>13</v>
      </c>
      <c r="F24">
        <f t="shared" si="0"/>
        <v>230</v>
      </c>
      <c r="I24">
        <v>0</v>
      </c>
    </row>
    <row r="25" spans="1:9" ht="18">
      <c r="A25" s="21">
        <v>42024</v>
      </c>
      <c r="B25" s="19">
        <v>225.9</v>
      </c>
      <c r="C25" s="20" t="s">
        <v>12</v>
      </c>
      <c r="D25" s="20">
        <v>8</v>
      </c>
      <c r="E25" s="19" t="s">
        <v>13</v>
      </c>
      <c r="F25">
        <f t="shared" si="0"/>
        <v>230</v>
      </c>
      <c r="I25">
        <v>0</v>
      </c>
    </row>
    <row r="26" spans="1:9" ht="18">
      <c r="A26" s="21">
        <v>42026</v>
      </c>
      <c r="B26" s="19">
        <v>177</v>
      </c>
      <c r="C26" s="20" t="s">
        <v>12</v>
      </c>
      <c r="D26" s="20">
        <v>8</v>
      </c>
      <c r="E26" s="19" t="s">
        <v>13</v>
      </c>
      <c r="F26">
        <f t="shared" si="0"/>
        <v>180</v>
      </c>
      <c r="I26">
        <v>0</v>
      </c>
    </row>
    <row r="27" spans="1:9" ht="18">
      <c r="A27" s="21">
        <v>42027</v>
      </c>
      <c r="B27" s="19">
        <v>231.8</v>
      </c>
      <c r="C27" s="20" t="s">
        <v>12</v>
      </c>
      <c r="D27" s="20">
        <v>8</v>
      </c>
      <c r="E27" s="19" t="s">
        <v>13</v>
      </c>
      <c r="F27">
        <f t="shared" si="0"/>
        <v>230</v>
      </c>
      <c r="I27">
        <v>0</v>
      </c>
    </row>
    <row r="28" spans="1:9" ht="18">
      <c r="A28" s="21">
        <v>41664</v>
      </c>
      <c r="B28" s="19">
        <v>194.9</v>
      </c>
      <c r="C28" s="20" t="s">
        <v>12</v>
      </c>
      <c r="D28" s="20">
        <v>8</v>
      </c>
      <c r="E28" s="19" t="s">
        <v>13</v>
      </c>
      <c r="F28">
        <f t="shared" si="0"/>
        <v>190</v>
      </c>
      <c r="I28">
        <v>0</v>
      </c>
    </row>
    <row r="29" spans="1:9" ht="18">
      <c r="A29" s="21">
        <v>41664</v>
      </c>
      <c r="B29" s="19">
        <v>214.8</v>
      </c>
      <c r="C29" s="20" t="s">
        <v>12</v>
      </c>
      <c r="D29" s="20">
        <v>8</v>
      </c>
      <c r="E29" s="19" t="s">
        <v>13</v>
      </c>
      <c r="F29">
        <f t="shared" si="0"/>
        <v>210</v>
      </c>
      <c r="I29">
        <v>0</v>
      </c>
    </row>
    <row r="30" spans="1:9" ht="18">
      <c r="A30" s="21">
        <v>41667</v>
      </c>
      <c r="B30" s="19">
        <v>208.3</v>
      </c>
      <c r="C30" s="20" t="s">
        <v>12</v>
      </c>
      <c r="D30" s="20">
        <v>8</v>
      </c>
      <c r="E30" s="19" t="s">
        <v>13</v>
      </c>
      <c r="F30">
        <f t="shared" si="0"/>
        <v>210</v>
      </c>
      <c r="I30">
        <v>8</v>
      </c>
    </row>
    <row r="31" spans="1:9" ht="18">
      <c r="A31" s="21">
        <v>41666</v>
      </c>
      <c r="B31" s="19">
        <v>166.8</v>
      </c>
      <c r="C31" s="20" t="s">
        <v>12</v>
      </c>
      <c r="D31" s="20">
        <v>8</v>
      </c>
      <c r="E31" s="19" t="s">
        <v>13</v>
      </c>
      <c r="F31">
        <f t="shared" si="0"/>
        <v>170</v>
      </c>
      <c r="I31">
        <v>0</v>
      </c>
    </row>
    <row r="32" spans="1:9" ht="18">
      <c r="A32" s="21">
        <v>41665</v>
      </c>
      <c r="B32" s="19">
        <v>270</v>
      </c>
      <c r="C32" s="20" t="s">
        <v>12</v>
      </c>
      <c r="D32" s="20">
        <v>8</v>
      </c>
      <c r="E32" s="19" t="s">
        <v>13</v>
      </c>
      <c r="F32">
        <f t="shared" si="0"/>
        <v>270</v>
      </c>
      <c r="I32">
        <v>0</v>
      </c>
    </row>
    <row r="33" spans="1:9" ht="18">
      <c r="A33" s="21">
        <v>41665</v>
      </c>
      <c r="B33" s="19">
        <v>191.1</v>
      </c>
      <c r="C33" s="20" t="s">
        <v>12</v>
      </c>
      <c r="D33" s="20">
        <v>8</v>
      </c>
      <c r="E33" s="19" t="s">
        <v>13</v>
      </c>
      <c r="F33">
        <f t="shared" si="0"/>
        <v>190</v>
      </c>
      <c r="I33">
        <v>0</v>
      </c>
    </row>
    <row r="34" spans="1:9" ht="18">
      <c r="A34" s="21">
        <v>42021</v>
      </c>
      <c r="B34" s="19">
        <v>192.3</v>
      </c>
      <c r="C34" s="20" t="s">
        <v>12</v>
      </c>
      <c r="D34" s="20">
        <v>0</v>
      </c>
      <c r="E34" s="19" t="s">
        <v>19</v>
      </c>
      <c r="F34">
        <f t="shared" si="0"/>
        <v>190</v>
      </c>
      <c r="I34">
        <v>0</v>
      </c>
    </row>
    <row r="35" spans="1:9" ht="18">
      <c r="A35" s="21">
        <v>42022</v>
      </c>
      <c r="B35" s="19">
        <v>206.4</v>
      </c>
      <c r="C35" s="20" t="s">
        <v>12</v>
      </c>
      <c r="D35" s="20">
        <v>0</v>
      </c>
      <c r="E35" s="19" t="s">
        <v>19</v>
      </c>
      <c r="F35">
        <f t="shared" si="0"/>
        <v>210</v>
      </c>
      <c r="I35">
        <v>0</v>
      </c>
    </row>
    <row r="36" spans="1:9" ht="18">
      <c r="A36" s="21">
        <v>42023</v>
      </c>
      <c r="B36" s="19">
        <v>253.8</v>
      </c>
      <c r="C36" s="20" t="s">
        <v>12</v>
      </c>
      <c r="D36" s="20">
        <v>0</v>
      </c>
      <c r="E36" s="19" t="s">
        <v>19</v>
      </c>
      <c r="F36">
        <f t="shared" si="0"/>
        <v>250</v>
      </c>
      <c r="I36">
        <v>0</v>
      </c>
    </row>
    <row r="37" spans="1:9" ht="18">
      <c r="A37" s="21">
        <v>42024</v>
      </c>
      <c r="B37" s="19">
        <v>226.9</v>
      </c>
      <c r="C37" s="20" t="s">
        <v>12</v>
      </c>
      <c r="D37" s="20">
        <v>0</v>
      </c>
      <c r="E37" s="19" t="s">
        <v>19</v>
      </c>
      <c r="F37">
        <f t="shared" si="0"/>
        <v>230</v>
      </c>
      <c r="I37">
        <v>0</v>
      </c>
    </row>
    <row r="38" spans="1:9" ht="18">
      <c r="A38" s="21">
        <v>42024</v>
      </c>
      <c r="B38" s="19">
        <v>248.4</v>
      </c>
      <c r="C38" s="20" t="s">
        <v>12</v>
      </c>
      <c r="D38" s="20">
        <v>0</v>
      </c>
      <c r="E38" s="19" t="s">
        <v>19</v>
      </c>
      <c r="F38">
        <f t="shared" si="0"/>
        <v>250</v>
      </c>
      <c r="I38">
        <v>0</v>
      </c>
    </row>
    <row r="39" spans="1:9" ht="18">
      <c r="A39" s="21">
        <v>42026</v>
      </c>
      <c r="B39" s="19">
        <v>189.9</v>
      </c>
      <c r="C39" s="20" t="s">
        <v>12</v>
      </c>
      <c r="D39" s="20">
        <v>0</v>
      </c>
      <c r="E39" s="19" t="s">
        <v>19</v>
      </c>
      <c r="F39">
        <f t="shared" si="0"/>
        <v>190</v>
      </c>
      <c r="I39">
        <v>0</v>
      </c>
    </row>
    <row r="40" spans="1:9" ht="18">
      <c r="A40" s="21">
        <v>42027</v>
      </c>
      <c r="B40" s="19">
        <v>271.5</v>
      </c>
      <c r="C40" s="20" t="s">
        <v>12</v>
      </c>
      <c r="D40" s="20">
        <v>0</v>
      </c>
      <c r="E40" s="19" t="s">
        <v>19</v>
      </c>
      <c r="F40">
        <f t="shared" si="0"/>
        <v>270</v>
      </c>
      <c r="I40">
        <v>0</v>
      </c>
    </row>
    <row r="41" spans="1:9" ht="18">
      <c r="A41" s="21">
        <v>41664</v>
      </c>
      <c r="B41" s="19">
        <v>205.9</v>
      </c>
      <c r="C41" s="20" t="s">
        <v>12</v>
      </c>
      <c r="D41" s="20">
        <v>0</v>
      </c>
      <c r="E41" s="19" t="s">
        <v>19</v>
      </c>
      <c r="F41">
        <f t="shared" si="0"/>
        <v>210</v>
      </c>
      <c r="I41">
        <v>0</v>
      </c>
    </row>
    <row r="42" spans="1:9" ht="18">
      <c r="A42" s="21">
        <v>41664</v>
      </c>
      <c r="B42" s="19">
        <v>213.5</v>
      </c>
      <c r="C42" s="20" t="s">
        <v>12</v>
      </c>
      <c r="D42" s="20">
        <v>0</v>
      </c>
      <c r="E42" s="19" t="s">
        <v>19</v>
      </c>
      <c r="F42">
        <f t="shared" si="0"/>
        <v>210</v>
      </c>
      <c r="I42">
        <v>0</v>
      </c>
    </row>
    <row r="43" spans="1:9" ht="18">
      <c r="A43" s="21">
        <v>41667</v>
      </c>
      <c r="B43" s="19">
        <v>202</v>
      </c>
      <c r="C43" s="20" t="s">
        <v>12</v>
      </c>
      <c r="D43" s="20">
        <v>0</v>
      </c>
      <c r="E43" s="19" t="s">
        <v>19</v>
      </c>
      <c r="F43">
        <f t="shared" si="0"/>
        <v>200</v>
      </c>
      <c r="I43">
        <v>0</v>
      </c>
    </row>
    <row r="44" spans="1:9" ht="18">
      <c r="A44" s="21">
        <v>41666</v>
      </c>
      <c r="B44" s="19">
        <v>152.30000000000001</v>
      </c>
      <c r="C44" s="20" t="s">
        <v>12</v>
      </c>
      <c r="D44" s="20">
        <v>0</v>
      </c>
      <c r="E44" s="19" t="s">
        <v>19</v>
      </c>
      <c r="F44">
        <f t="shared" si="0"/>
        <v>150</v>
      </c>
      <c r="I44">
        <v>0</v>
      </c>
    </row>
    <row r="45" spans="1:9" ht="18">
      <c r="A45" s="21">
        <v>41665</v>
      </c>
      <c r="B45" s="19">
        <v>249.2</v>
      </c>
      <c r="C45" s="20" t="s">
        <v>12</v>
      </c>
      <c r="D45" s="20">
        <v>0</v>
      </c>
      <c r="E45" s="19" t="s">
        <v>19</v>
      </c>
      <c r="F45">
        <f t="shared" si="0"/>
        <v>250</v>
      </c>
      <c r="I45">
        <v>0</v>
      </c>
    </row>
    <row r="46" spans="1:9" ht="18">
      <c r="A46" s="21">
        <v>41665</v>
      </c>
      <c r="B46" s="19">
        <v>191.1</v>
      </c>
      <c r="C46" s="20" t="s">
        <v>12</v>
      </c>
      <c r="D46" s="20">
        <v>0</v>
      </c>
      <c r="E46" s="19" t="s">
        <v>19</v>
      </c>
      <c r="F46">
        <f t="shared" si="0"/>
        <v>190</v>
      </c>
      <c r="I46">
        <v>0</v>
      </c>
    </row>
    <row r="47" spans="1:9" ht="18">
      <c r="A47" s="21">
        <v>42021</v>
      </c>
      <c r="B47" s="19">
        <v>192.3</v>
      </c>
      <c r="C47" s="20" t="s">
        <v>12</v>
      </c>
      <c r="D47" s="20">
        <v>8</v>
      </c>
      <c r="E47" s="19" t="s">
        <v>19</v>
      </c>
      <c r="F47">
        <f t="shared" si="0"/>
        <v>190</v>
      </c>
      <c r="I47">
        <v>0</v>
      </c>
    </row>
    <row r="48" spans="1:9" ht="18">
      <c r="A48" s="21">
        <v>42022</v>
      </c>
      <c r="B48" s="19">
        <v>206.4</v>
      </c>
      <c r="C48" s="20" t="s">
        <v>12</v>
      </c>
      <c r="D48" s="20">
        <v>8</v>
      </c>
      <c r="E48" s="19" t="s">
        <v>19</v>
      </c>
      <c r="F48">
        <f t="shared" si="0"/>
        <v>210</v>
      </c>
      <c r="I48">
        <v>0</v>
      </c>
    </row>
    <row r="49" spans="1:9" ht="18">
      <c r="A49" s="21">
        <v>42023</v>
      </c>
      <c r="B49" s="19">
        <v>275.2</v>
      </c>
      <c r="C49" s="20" t="s">
        <v>12</v>
      </c>
      <c r="D49" s="20">
        <v>8</v>
      </c>
      <c r="E49" s="19" t="s">
        <v>19</v>
      </c>
      <c r="F49">
        <f t="shared" si="0"/>
        <v>280</v>
      </c>
      <c r="I49">
        <v>0</v>
      </c>
    </row>
    <row r="50" spans="1:9" ht="18">
      <c r="A50" s="21">
        <v>42024</v>
      </c>
      <c r="B50" s="19">
        <v>226.9</v>
      </c>
      <c r="C50" s="20" t="s">
        <v>12</v>
      </c>
      <c r="D50" s="20">
        <v>8</v>
      </c>
      <c r="E50" s="19" t="s">
        <v>19</v>
      </c>
      <c r="F50">
        <f t="shared" si="0"/>
        <v>230</v>
      </c>
      <c r="I50">
        <v>0</v>
      </c>
    </row>
    <row r="51" spans="1:9" ht="18">
      <c r="A51" s="21">
        <v>42024</v>
      </c>
      <c r="B51" s="19">
        <v>249.7</v>
      </c>
      <c r="C51" s="20" t="s">
        <v>12</v>
      </c>
      <c r="D51" s="20">
        <v>8</v>
      </c>
      <c r="E51" s="19" t="s">
        <v>19</v>
      </c>
      <c r="F51">
        <f t="shared" si="0"/>
        <v>250</v>
      </c>
      <c r="I51">
        <v>0</v>
      </c>
    </row>
    <row r="52" spans="1:9" ht="18">
      <c r="A52" s="21">
        <v>42026</v>
      </c>
      <c r="B52" s="19">
        <v>213.8</v>
      </c>
      <c r="C52" s="20" t="s">
        <v>12</v>
      </c>
      <c r="D52" s="20">
        <v>8</v>
      </c>
      <c r="E52" s="19" t="s">
        <v>19</v>
      </c>
      <c r="F52">
        <f t="shared" si="0"/>
        <v>210</v>
      </c>
      <c r="I52">
        <v>0</v>
      </c>
    </row>
    <row r="53" spans="1:9" ht="18">
      <c r="A53" s="21">
        <v>42027</v>
      </c>
      <c r="B53" s="19">
        <v>252</v>
      </c>
      <c r="C53" s="20" t="s">
        <v>12</v>
      </c>
      <c r="D53" s="20">
        <v>8</v>
      </c>
      <c r="E53" s="19" t="s">
        <v>19</v>
      </c>
      <c r="F53">
        <f t="shared" si="0"/>
        <v>250</v>
      </c>
      <c r="I53">
        <v>0</v>
      </c>
    </row>
    <row r="54" spans="1:9" ht="18">
      <c r="A54" s="21">
        <v>41664</v>
      </c>
      <c r="B54" s="19">
        <v>227.9</v>
      </c>
      <c r="C54" s="20" t="s">
        <v>12</v>
      </c>
      <c r="D54" s="20">
        <v>8</v>
      </c>
      <c r="E54" s="19" t="s">
        <v>19</v>
      </c>
      <c r="F54">
        <f t="shared" si="0"/>
        <v>230</v>
      </c>
      <c r="I54">
        <v>0</v>
      </c>
    </row>
    <row r="55" spans="1:9" ht="18">
      <c r="A55" s="21">
        <v>41664</v>
      </c>
      <c r="B55" s="19">
        <v>215.8</v>
      </c>
      <c r="C55" s="20" t="s">
        <v>12</v>
      </c>
      <c r="D55" s="20">
        <v>8</v>
      </c>
      <c r="E55" s="19" t="s">
        <v>19</v>
      </c>
      <c r="F55">
        <f t="shared" si="0"/>
        <v>220</v>
      </c>
      <c r="I55">
        <v>0</v>
      </c>
    </row>
    <row r="56" spans="1:9" ht="18">
      <c r="A56" s="21">
        <v>41667</v>
      </c>
      <c r="B56" s="19">
        <v>213.8</v>
      </c>
      <c r="C56" s="20" t="s">
        <v>12</v>
      </c>
      <c r="D56" s="20">
        <v>8</v>
      </c>
      <c r="E56" s="19" t="s">
        <v>19</v>
      </c>
      <c r="F56">
        <f t="shared" si="0"/>
        <v>210</v>
      </c>
      <c r="I56">
        <v>0</v>
      </c>
    </row>
    <row r="57" spans="1:9" ht="18">
      <c r="A57" s="21">
        <v>41666</v>
      </c>
      <c r="B57" s="19">
        <v>163.30000000000001</v>
      </c>
      <c r="C57" s="20" t="s">
        <v>12</v>
      </c>
      <c r="D57" s="20">
        <v>8</v>
      </c>
      <c r="E57" s="19" t="s">
        <v>19</v>
      </c>
      <c r="F57">
        <f t="shared" si="0"/>
        <v>160</v>
      </c>
      <c r="I57">
        <v>0</v>
      </c>
    </row>
    <row r="58" spans="1:9" ht="18">
      <c r="A58" s="21">
        <v>41665</v>
      </c>
      <c r="B58" s="19">
        <v>220.7</v>
      </c>
      <c r="C58" s="20" t="s">
        <v>12</v>
      </c>
      <c r="D58" s="20">
        <v>8</v>
      </c>
      <c r="E58" s="19" t="s">
        <v>19</v>
      </c>
      <c r="F58">
        <f t="shared" si="0"/>
        <v>220</v>
      </c>
      <c r="I58">
        <v>0</v>
      </c>
    </row>
    <row r="59" spans="1:9" ht="18">
      <c r="A59" s="21">
        <v>41665</v>
      </c>
      <c r="B59" s="19">
        <v>191.1</v>
      </c>
      <c r="C59" s="20" t="s">
        <v>12</v>
      </c>
      <c r="D59" s="20">
        <v>8</v>
      </c>
      <c r="E59" s="19" t="s">
        <v>19</v>
      </c>
      <c r="F59">
        <f t="shared" si="0"/>
        <v>190</v>
      </c>
      <c r="I59">
        <v>0</v>
      </c>
    </row>
    <row r="60" spans="1:9" ht="18">
      <c r="A60" s="21">
        <v>42022</v>
      </c>
      <c r="B60" s="19">
        <v>243.3</v>
      </c>
      <c r="C60" s="20" t="s">
        <v>20</v>
      </c>
      <c r="D60" s="20">
        <v>8</v>
      </c>
      <c r="E60" s="19" t="s">
        <v>19</v>
      </c>
      <c r="F60">
        <f t="shared" si="0"/>
        <v>240</v>
      </c>
      <c r="I60">
        <v>0</v>
      </c>
    </row>
    <row r="61" spans="1:9" ht="18">
      <c r="A61" s="21">
        <v>42023</v>
      </c>
      <c r="B61" s="19">
        <v>249.7</v>
      </c>
      <c r="C61" s="20" t="s">
        <v>20</v>
      </c>
      <c r="D61" s="20">
        <v>8</v>
      </c>
      <c r="E61" s="19" t="s">
        <v>19</v>
      </c>
      <c r="F61">
        <f t="shared" si="0"/>
        <v>250</v>
      </c>
      <c r="I61">
        <v>0</v>
      </c>
    </row>
    <row r="62" spans="1:9" ht="18">
      <c r="A62" s="21">
        <v>42024</v>
      </c>
      <c r="B62" s="19">
        <v>226.9</v>
      </c>
      <c r="C62" s="20" t="s">
        <v>20</v>
      </c>
      <c r="D62" s="20">
        <v>8</v>
      </c>
      <c r="E62" s="19" t="s">
        <v>19</v>
      </c>
      <c r="F62">
        <f t="shared" si="0"/>
        <v>230</v>
      </c>
      <c r="I62">
        <v>0</v>
      </c>
    </row>
    <row r="63" spans="1:9" ht="18">
      <c r="A63" s="21">
        <v>42024</v>
      </c>
      <c r="B63" s="19">
        <v>240.9</v>
      </c>
      <c r="C63" s="20" t="s">
        <v>20</v>
      </c>
      <c r="D63" s="20">
        <v>8</v>
      </c>
      <c r="E63" s="19" t="s">
        <v>19</v>
      </c>
      <c r="F63">
        <f t="shared" si="0"/>
        <v>240</v>
      </c>
      <c r="I63">
        <v>0</v>
      </c>
    </row>
    <row r="64" spans="1:9" ht="18">
      <c r="A64" s="21">
        <v>42026</v>
      </c>
      <c r="B64" s="19">
        <v>213.8</v>
      </c>
      <c r="C64" s="20" t="s">
        <v>20</v>
      </c>
      <c r="D64" s="20">
        <v>8</v>
      </c>
      <c r="E64" s="19" t="s">
        <v>19</v>
      </c>
      <c r="F64">
        <f t="shared" si="0"/>
        <v>210</v>
      </c>
      <c r="I64">
        <v>0</v>
      </c>
    </row>
    <row r="65" spans="1:9" ht="18">
      <c r="A65" s="21">
        <v>42027</v>
      </c>
      <c r="B65" s="19">
        <v>243.6</v>
      </c>
      <c r="C65" s="20" t="s">
        <v>20</v>
      </c>
      <c r="D65" s="20">
        <v>8</v>
      </c>
      <c r="E65" s="19" t="s">
        <v>19</v>
      </c>
      <c r="F65">
        <f t="shared" si="0"/>
        <v>240</v>
      </c>
      <c r="I65">
        <v>0</v>
      </c>
    </row>
    <row r="66" spans="1:9" ht="18">
      <c r="A66" s="21">
        <v>41664</v>
      </c>
      <c r="B66" s="19">
        <v>173</v>
      </c>
      <c r="C66" s="20" t="s">
        <v>20</v>
      </c>
      <c r="D66" s="20">
        <v>8</v>
      </c>
      <c r="E66" s="19" t="s">
        <v>19</v>
      </c>
      <c r="F66">
        <f t="shared" si="0"/>
        <v>170</v>
      </c>
      <c r="I66">
        <v>0</v>
      </c>
    </row>
    <row r="67" spans="1:9" ht="18">
      <c r="A67" s="21">
        <v>41664</v>
      </c>
      <c r="B67" s="19">
        <v>186.6</v>
      </c>
      <c r="C67" s="20" t="s">
        <v>20</v>
      </c>
      <c r="D67" s="20">
        <v>8</v>
      </c>
      <c r="E67" s="19" t="s">
        <v>19</v>
      </c>
      <c r="F67">
        <f t="shared" ref="F67:F96" si="1">ROUND(B67/10,0)*10</f>
        <v>190</v>
      </c>
      <c r="I67">
        <v>0</v>
      </c>
    </row>
    <row r="68" spans="1:9" ht="18">
      <c r="A68" s="21">
        <v>41667</v>
      </c>
      <c r="B68" s="19">
        <v>199.6</v>
      </c>
      <c r="C68" s="20" t="s">
        <v>20</v>
      </c>
      <c r="D68" s="20">
        <v>8</v>
      </c>
      <c r="E68" s="19" t="s">
        <v>19</v>
      </c>
      <c r="F68">
        <f t="shared" si="1"/>
        <v>200</v>
      </c>
      <c r="I68">
        <v>0</v>
      </c>
    </row>
    <row r="69" spans="1:9" ht="18">
      <c r="A69" s="21">
        <v>41666</v>
      </c>
      <c r="B69" s="19">
        <v>177.9</v>
      </c>
      <c r="C69" s="20" t="s">
        <v>20</v>
      </c>
      <c r="D69" s="20">
        <v>8</v>
      </c>
      <c r="E69" s="19" t="s">
        <v>19</v>
      </c>
      <c r="F69">
        <f t="shared" si="1"/>
        <v>180</v>
      </c>
      <c r="I69">
        <v>0</v>
      </c>
    </row>
    <row r="70" spans="1:9" ht="18">
      <c r="A70" s="21">
        <v>41665</v>
      </c>
      <c r="B70" s="19">
        <v>220.7</v>
      </c>
      <c r="C70" s="20" t="s">
        <v>20</v>
      </c>
      <c r="D70" s="20">
        <v>8</v>
      </c>
      <c r="E70" s="19" t="s">
        <v>19</v>
      </c>
      <c r="F70">
        <f t="shared" si="1"/>
        <v>220</v>
      </c>
      <c r="I70">
        <v>0</v>
      </c>
    </row>
    <row r="71" spans="1:9" ht="18">
      <c r="A71" s="21">
        <v>41665</v>
      </c>
      <c r="B71" s="19">
        <v>188.2</v>
      </c>
      <c r="C71" s="20" t="s">
        <v>20</v>
      </c>
      <c r="D71" s="20">
        <v>8</v>
      </c>
      <c r="E71" s="19" t="s">
        <v>19</v>
      </c>
      <c r="F71">
        <f t="shared" si="1"/>
        <v>190</v>
      </c>
      <c r="I71">
        <v>0</v>
      </c>
    </row>
    <row r="72" spans="1:9" ht="18">
      <c r="A72" s="1">
        <v>42033</v>
      </c>
      <c r="B72" s="19">
        <v>271.10000000000002</v>
      </c>
      <c r="C72" s="20" t="s">
        <v>12</v>
      </c>
      <c r="D72" s="20">
        <v>8</v>
      </c>
      <c r="E72" s="19" t="s">
        <v>13</v>
      </c>
      <c r="F72">
        <f t="shared" si="1"/>
        <v>270</v>
      </c>
      <c r="I72">
        <v>0</v>
      </c>
    </row>
    <row r="73" spans="1:9" ht="18">
      <c r="A73" s="1">
        <v>42033</v>
      </c>
      <c r="B73" s="19">
        <v>271.10000000000002</v>
      </c>
      <c r="C73" s="20" t="s">
        <v>12</v>
      </c>
      <c r="D73" s="20">
        <v>8</v>
      </c>
      <c r="E73" s="19" t="s">
        <v>19</v>
      </c>
      <c r="F73">
        <f t="shared" si="1"/>
        <v>270</v>
      </c>
      <c r="I73">
        <v>0</v>
      </c>
    </row>
    <row r="74" spans="1:9" ht="18">
      <c r="A74" s="1">
        <v>42033</v>
      </c>
      <c r="B74" s="19">
        <v>271.10000000000002</v>
      </c>
      <c r="C74" s="20" t="s">
        <v>12</v>
      </c>
      <c r="D74" s="20">
        <v>0</v>
      </c>
      <c r="E74" s="19" t="s">
        <v>19</v>
      </c>
      <c r="F74">
        <f t="shared" si="1"/>
        <v>270</v>
      </c>
      <c r="I74">
        <v>0</v>
      </c>
    </row>
    <row r="75" spans="1:9" ht="18">
      <c r="A75" s="1">
        <v>42033</v>
      </c>
      <c r="B75" s="19">
        <v>218.7</v>
      </c>
      <c r="C75" s="20" t="s">
        <v>12</v>
      </c>
      <c r="D75" s="20">
        <v>0</v>
      </c>
      <c r="E75" s="19" t="s">
        <v>13</v>
      </c>
      <c r="F75">
        <f t="shared" si="1"/>
        <v>220</v>
      </c>
      <c r="I75">
        <v>0</v>
      </c>
    </row>
    <row r="76" spans="1:9" ht="18">
      <c r="A76" s="1">
        <v>42033</v>
      </c>
      <c r="B76" s="19">
        <v>264.8</v>
      </c>
      <c r="C76" s="20" t="s">
        <v>20</v>
      </c>
      <c r="D76" s="20">
        <v>8</v>
      </c>
      <c r="E76" s="19" t="s">
        <v>19</v>
      </c>
      <c r="F76">
        <f t="shared" si="1"/>
        <v>260</v>
      </c>
      <c r="I76">
        <v>0</v>
      </c>
    </row>
    <row r="77" spans="1:9" ht="18">
      <c r="A77" s="1">
        <v>42034</v>
      </c>
      <c r="B77" s="19">
        <v>173.7</v>
      </c>
      <c r="C77" s="20" t="s">
        <v>12</v>
      </c>
      <c r="D77" s="20">
        <v>8</v>
      </c>
      <c r="E77" s="19" t="s">
        <v>13</v>
      </c>
      <c r="F77">
        <f t="shared" si="1"/>
        <v>170</v>
      </c>
      <c r="I77">
        <v>0</v>
      </c>
    </row>
    <row r="78" spans="1:9" ht="18">
      <c r="A78" s="1">
        <v>42034</v>
      </c>
      <c r="B78" s="19">
        <v>173.7</v>
      </c>
      <c r="C78" s="20" t="s">
        <v>12</v>
      </c>
      <c r="D78" s="20">
        <v>8</v>
      </c>
      <c r="E78" s="19" t="s">
        <v>19</v>
      </c>
      <c r="F78">
        <f t="shared" si="1"/>
        <v>170</v>
      </c>
      <c r="I78">
        <v>0</v>
      </c>
    </row>
    <row r="79" spans="1:9" ht="18">
      <c r="A79" s="1">
        <v>42034</v>
      </c>
      <c r="B79" s="19">
        <v>173.7</v>
      </c>
      <c r="C79" s="20" t="s">
        <v>12</v>
      </c>
      <c r="D79" s="20">
        <v>0</v>
      </c>
      <c r="E79" s="19" t="s">
        <v>19</v>
      </c>
      <c r="F79">
        <f t="shared" si="1"/>
        <v>170</v>
      </c>
      <c r="I79">
        <v>0</v>
      </c>
    </row>
    <row r="80" spans="1:9" ht="18">
      <c r="A80" s="1">
        <v>42034</v>
      </c>
      <c r="B80" s="19">
        <v>173.7</v>
      </c>
      <c r="C80" s="20" t="s">
        <v>12</v>
      </c>
      <c r="D80" s="20">
        <v>0</v>
      </c>
      <c r="E80" s="19" t="s">
        <v>13</v>
      </c>
      <c r="F80">
        <f t="shared" si="1"/>
        <v>170</v>
      </c>
      <c r="I80">
        <v>0</v>
      </c>
    </row>
    <row r="81" spans="1:9" ht="18">
      <c r="A81" s="1">
        <v>42034</v>
      </c>
      <c r="B81" s="19">
        <v>173.7</v>
      </c>
      <c r="C81" s="20" t="s">
        <v>20</v>
      </c>
      <c r="D81" s="20">
        <v>8</v>
      </c>
      <c r="E81" s="19" t="s">
        <v>19</v>
      </c>
      <c r="F81">
        <f t="shared" si="1"/>
        <v>170</v>
      </c>
      <c r="I81">
        <v>0</v>
      </c>
    </row>
    <row r="82" spans="1:9" ht="25">
      <c r="A82" s="1">
        <v>42035</v>
      </c>
      <c r="B82" s="19">
        <v>191.5</v>
      </c>
      <c r="C82" s="20" t="s">
        <v>12</v>
      </c>
      <c r="D82" s="20">
        <v>8</v>
      </c>
      <c r="E82" s="19" t="s">
        <v>13</v>
      </c>
      <c r="F82">
        <f t="shared" si="1"/>
        <v>190</v>
      </c>
      <c r="G82" s="22" t="s">
        <v>24</v>
      </c>
      <c r="I82">
        <v>0</v>
      </c>
    </row>
    <row r="83" spans="1:9" ht="25">
      <c r="A83" s="1">
        <v>42035</v>
      </c>
      <c r="B83" s="19">
        <v>178.6</v>
      </c>
      <c r="C83" s="20" t="s">
        <v>12</v>
      </c>
      <c r="D83" s="20">
        <v>8</v>
      </c>
      <c r="E83" s="19" t="s">
        <v>19</v>
      </c>
      <c r="F83">
        <f t="shared" si="1"/>
        <v>180</v>
      </c>
      <c r="G83" s="22" t="s">
        <v>23</v>
      </c>
      <c r="I83">
        <v>0</v>
      </c>
    </row>
    <row r="84" spans="1:9" ht="25">
      <c r="A84" s="1">
        <v>42035</v>
      </c>
      <c r="B84" s="19">
        <v>178.7</v>
      </c>
      <c r="C84" s="20" t="s">
        <v>12</v>
      </c>
      <c r="D84" s="20">
        <v>0</v>
      </c>
      <c r="E84" s="19" t="s">
        <v>19</v>
      </c>
      <c r="F84">
        <f t="shared" si="1"/>
        <v>180</v>
      </c>
      <c r="G84" s="22" t="s">
        <v>25</v>
      </c>
      <c r="I84">
        <v>0</v>
      </c>
    </row>
    <row r="85" spans="1:9" ht="25">
      <c r="A85" s="1">
        <v>42035</v>
      </c>
      <c r="B85" s="19">
        <v>191.5</v>
      </c>
      <c r="C85" s="20" t="s">
        <v>12</v>
      </c>
      <c r="D85" s="20">
        <v>0</v>
      </c>
      <c r="E85" s="19" t="s">
        <v>13</v>
      </c>
      <c r="F85">
        <f t="shared" si="1"/>
        <v>190</v>
      </c>
      <c r="G85" s="22" t="s">
        <v>23</v>
      </c>
      <c r="I85">
        <v>0</v>
      </c>
    </row>
    <row r="86" spans="1:9" ht="25">
      <c r="A86" s="1">
        <v>42035</v>
      </c>
      <c r="B86" s="19">
        <v>217.7</v>
      </c>
      <c r="C86" s="20" t="s">
        <v>20</v>
      </c>
      <c r="D86" s="20">
        <v>8</v>
      </c>
      <c r="E86" s="19" t="s">
        <v>19</v>
      </c>
      <c r="F86">
        <f t="shared" si="1"/>
        <v>220</v>
      </c>
      <c r="G86" s="22" t="s">
        <v>26</v>
      </c>
      <c r="I86">
        <v>0</v>
      </c>
    </row>
    <row r="87" spans="1:9" ht="25">
      <c r="A87" s="1">
        <v>42035</v>
      </c>
      <c r="B87" s="19">
        <v>219.3</v>
      </c>
      <c r="C87" s="20" t="s">
        <v>12</v>
      </c>
      <c r="D87" s="20">
        <v>8</v>
      </c>
      <c r="E87" s="19" t="s">
        <v>13</v>
      </c>
      <c r="F87">
        <f t="shared" si="1"/>
        <v>220</v>
      </c>
      <c r="G87" s="22" t="s">
        <v>28</v>
      </c>
      <c r="I87">
        <v>0</v>
      </c>
    </row>
    <row r="88" spans="1:9" ht="25">
      <c r="A88" s="1">
        <v>42035</v>
      </c>
      <c r="B88" s="19">
        <v>205.4</v>
      </c>
      <c r="C88" s="20" t="s">
        <v>12</v>
      </c>
      <c r="D88" s="20">
        <v>8</v>
      </c>
      <c r="E88" s="19" t="s">
        <v>19</v>
      </c>
      <c r="F88">
        <f t="shared" si="1"/>
        <v>210</v>
      </c>
      <c r="G88" s="22" t="s">
        <v>30</v>
      </c>
      <c r="I88">
        <v>0</v>
      </c>
    </row>
    <row r="89" spans="1:9" ht="25">
      <c r="A89" s="1">
        <v>42035</v>
      </c>
      <c r="B89" s="19">
        <v>185.9</v>
      </c>
      <c r="C89" s="20" t="s">
        <v>12</v>
      </c>
      <c r="D89" s="20">
        <v>0</v>
      </c>
      <c r="E89" s="19" t="s">
        <v>19</v>
      </c>
      <c r="F89">
        <f t="shared" si="1"/>
        <v>190</v>
      </c>
      <c r="G89" s="22" t="s">
        <v>29</v>
      </c>
      <c r="I89">
        <v>0</v>
      </c>
    </row>
    <row r="90" spans="1:9" ht="25">
      <c r="A90" s="1">
        <v>42035</v>
      </c>
      <c r="B90" s="19">
        <v>179.4</v>
      </c>
      <c r="C90" s="20" t="s">
        <v>12</v>
      </c>
      <c r="D90" s="20">
        <v>0</v>
      </c>
      <c r="E90" s="19" t="s">
        <v>13</v>
      </c>
      <c r="F90">
        <f t="shared" si="1"/>
        <v>180</v>
      </c>
      <c r="G90" s="22" t="s">
        <v>27</v>
      </c>
      <c r="I90">
        <v>0</v>
      </c>
    </row>
    <row r="91" spans="1:9" ht="25">
      <c r="A91" s="1">
        <v>42035</v>
      </c>
      <c r="B91" s="19">
        <v>212.8</v>
      </c>
      <c r="C91" s="20" t="s">
        <v>20</v>
      </c>
      <c r="D91" s="20">
        <v>8</v>
      </c>
      <c r="E91" s="19" t="s">
        <v>19</v>
      </c>
      <c r="F91">
        <f t="shared" si="1"/>
        <v>210</v>
      </c>
      <c r="G91" s="22" t="s">
        <v>31</v>
      </c>
      <c r="I91">
        <v>0</v>
      </c>
    </row>
    <row r="92" spans="1:9" ht="25">
      <c r="A92" s="1">
        <v>42036</v>
      </c>
      <c r="B92" s="19">
        <v>254.5</v>
      </c>
      <c r="C92" s="20" t="s">
        <v>12</v>
      </c>
      <c r="D92" s="20">
        <v>0</v>
      </c>
      <c r="E92" s="19" t="s">
        <v>13</v>
      </c>
      <c r="F92">
        <f t="shared" si="1"/>
        <v>250</v>
      </c>
      <c r="G92" s="22" t="s">
        <v>32</v>
      </c>
      <c r="I92">
        <v>0</v>
      </c>
    </row>
    <row r="93" spans="1:9" ht="25">
      <c r="A93" s="1">
        <v>42036</v>
      </c>
      <c r="B93" s="19">
        <v>254.5</v>
      </c>
      <c r="C93" s="20" t="s">
        <v>12</v>
      </c>
      <c r="D93" s="20">
        <v>8</v>
      </c>
      <c r="E93" s="19" t="s">
        <v>13</v>
      </c>
      <c r="F93">
        <f t="shared" si="1"/>
        <v>250</v>
      </c>
      <c r="G93" s="22" t="s">
        <v>32</v>
      </c>
      <c r="I93">
        <v>0</v>
      </c>
    </row>
    <row r="94" spans="1:9" ht="25">
      <c r="A94" s="1">
        <v>42036</v>
      </c>
      <c r="B94" s="19">
        <v>254.5</v>
      </c>
      <c r="C94" s="20" t="s">
        <v>12</v>
      </c>
      <c r="D94" s="20">
        <v>0</v>
      </c>
      <c r="E94" s="19" t="s">
        <v>19</v>
      </c>
      <c r="F94">
        <f t="shared" si="1"/>
        <v>250</v>
      </c>
      <c r="G94" s="22" t="s">
        <v>32</v>
      </c>
      <c r="I94">
        <v>0</v>
      </c>
    </row>
    <row r="95" spans="1:9" ht="25">
      <c r="A95" s="1">
        <v>42036</v>
      </c>
      <c r="B95" s="19">
        <v>254.5</v>
      </c>
      <c r="C95" s="20" t="s">
        <v>12</v>
      </c>
      <c r="D95" s="20">
        <v>8</v>
      </c>
      <c r="E95" s="19" t="s">
        <v>19</v>
      </c>
      <c r="F95">
        <f t="shared" si="1"/>
        <v>250</v>
      </c>
      <c r="G95" s="22" t="s">
        <v>32</v>
      </c>
      <c r="I95">
        <v>0</v>
      </c>
    </row>
    <row r="96" spans="1:9" ht="25">
      <c r="A96" s="1">
        <v>42036</v>
      </c>
      <c r="B96" s="19">
        <v>254.5</v>
      </c>
      <c r="C96" s="20" t="s">
        <v>20</v>
      </c>
      <c r="D96" s="20">
        <v>8</v>
      </c>
      <c r="E96" s="19" t="s">
        <v>19</v>
      </c>
      <c r="F96">
        <f t="shared" si="1"/>
        <v>250</v>
      </c>
      <c r="G96" s="22" t="s">
        <v>32</v>
      </c>
      <c r="I96">
        <v>0</v>
      </c>
    </row>
    <row r="97" spans="1:9" ht="25">
      <c r="A97" s="1">
        <v>42037</v>
      </c>
      <c r="B97" s="19">
        <v>211.6</v>
      </c>
      <c r="C97" s="20" t="s">
        <v>12</v>
      </c>
      <c r="D97" s="20">
        <v>0</v>
      </c>
      <c r="E97" s="19" t="s">
        <v>13</v>
      </c>
      <c r="F97">
        <f t="shared" ref="F97:F101" si="2">ROUND(B97/10,0)*10</f>
        <v>210</v>
      </c>
      <c r="G97" s="22" t="s">
        <v>33</v>
      </c>
      <c r="I97">
        <v>0</v>
      </c>
    </row>
    <row r="98" spans="1:9" ht="25">
      <c r="A98" s="1">
        <v>42037</v>
      </c>
      <c r="B98" s="19">
        <v>215.6</v>
      </c>
      <c r="C98" s="20" t="s">
        <v>12</v>
      </c>
      <c r="D98" s="20">
        <v>8</v>
      </c>
      <c r="E98" s="19" t="s">
        <v>13</v>
      </c>
      <c r="F98">
        <f t="shared" si="2"/>
        <v>220</v>
      </c>
      <c r="G98" s="22" t="s">
        <v>34</v>
      </c>
      <c r="I98">
        <v>0</v>
      </c>
    </row>
    <row r="99" spans="1:9" ht="25">
      <c r="A99" s="1">
        <v>42037</v>
      </c>
      <c r="B99" s="19">
        <v>214.7</v>
      </c>
      <c r="C99" s="20" t="s">
        <v>12</v>
      </c>
      <c r="D99" s="20">
        <v>0</v>
      </c>
      <c r="E99" s="19" t="s">
        <v>19</v>
      </c>
      <c r="F99">
        <f t="shared" si="2"/>
        <v>210</v>
      </c>
      <c r="G99" s="22" t="s">
        <v>35</v>
      </c>
      <c r="I99">
        <v>0</v>
      </c>
    </row>
    <row r="100" spans="1:9" ht="25">
      <c r="A100" s="1">
        <v>42037</v>
      </c>
      <c r="B100" s="19">
        <v>242</v>
      </c>
      <c r="C100" s="20" t="s">
        <v>12</v>
      </c>
      <c r="D100" s="20">
        <v>8</v>
      </c>
      <c r="E100" s="19" t="s">
        <v>19</v>
      </c>
      <c r="F100">
        <f t="shared" si="2"/>
        <v>240</v>
      </c>
      <c r="G100" s="22" t="s">
        <v>36</v>
      </c>
      <c r="I100">
        <v>0</v>
      </c>
    </row>
    <row r="101" spans="1:9" ht="25">
      <c r="A101" s="1">
        <v>42037</v>
      </c>
      <c r="B101" s="19">
        <v>239</v>
      </c>
      <c r="C101" s="20" t="s">
        <v>20</v>
      </c>
      <c r="D101" s="20">
        <v>8</v>
      </c>
      <c r="E101" s="19" t="s">
        <v>19</v>
      </c>
      <c r="F101">
        <f t="shared" si="2"/>
        <v>240</v>
      </c>
      <c r="G101" s="22" t="s">
        <v>37</v>
      </c>
      <c r="I101">
        <v>0</v>
      </c>
    </row>
    <row r="102" spans="1:9" ht="25">
      <c r="A102" s="1">
        <v>42038</v>
      </c>
      <c r="B102" s="19">
        <v>272.2</v>
      </c>
      <c r="C102" s="20" t="s">
        <v>12</v>
      </c>
      <c r="D102" s="20">
        <v>0</v>
      </c>
      <c r="E102" s="19" t="s">
        <v>13</v>
      </c>
      <c r="F102">
        <f>ROUND(B102/10,0)*10</f>
        <v>270</v>
      </c>
      <c r="G102" s="22" t="s">
        <v>39</v>
      </c>
      <c r="I102">
        <v>0</v>
      </c>
    </row>
    <row r="103" spans="1:9" ht="25">
      <c r="A103" s="1">
        <v>42038</v>
      </c>
      <c r="B103" s="19">
        <v>272.2</v>
      </c>
      <c r="C103" s="20" t="s">
        <v>12</v>
      </c>
      <c r="D103" s="20">
        <v>8</v>
      </c>
      <c r="E103" s="19" t="s">
        <v>13</v>
      </c>
      <c r="F103">
        <f t="shared" ref="F103:F105" si="3">ROUND(B103/10,0)*10</f>
        <v>270</v>
      </c>
      <c r="G103" s="22" t="s">
        <v>39</v>
      </c>
      <c r="I103">
        <v>0</v>
      </c>
    </row>
    <row r="104" spans="1:9" ht="25">
      <c r="A104" s="1">
        <v>42038</v>
      </c>
      <c r="B104" s="19">
        <v>272.2</v>
      </c>
      <c r="C104" s="20" t="s">
        <v>12</v>
      </c>
      <c r="D104" s="20">
        <v>0</v>
      </c>
      <c r="E104" s="19" t="s">
        <v>19</v>
      </c>
      <c r="F104">
        <f t="shared" si="3"/>
        <v>270</v>
      </c>
      <c r="G104" s="22" t="s">
        <v>39</v>
      </c>
      <c r="I104">
        <v>0</v>
      </c>
    </row>
    <row r="105" spans="1:9" ht="25">
      <c r="A105" s="1">
        <v>42038</v>
      </c>
      <c r="B105" s="19">
        <v>272.2</v>
      </c>
      <c r="C105" s="20" t="s">
        <v>12</v>
      </c>
      <c r="D105" s="20">
        <v>8</v>
      </c>
      <c r="E105" s="19" t="s">
        <v>19</v>
      </c>
      <c r="F105">
        <f t="shared" si="3"/>
        <v>270</v>
      </c>
      <c r="G105" s="22" t="s">
        <v>39</v>
      </c>
      <c r="I105">
        <v>0</v>
      </c>
    </row>
    <row r="106" spans="1:9" ht="25">
      <c r="A106" s="1">
        <v>42038</v>
      </c>
      <c r="B106" s="19">
        <v>291.10000000000002</v>
      </c>
      <c r="C106" s="20" t="s">
        <v>20</v>
      </c>
      <c r="D106" s="20">
        <v>8</v>
      </c>
      <c r="E106" s="19" t="s">
        <v>19</v>
      </c>
      <c r="F106">
        <f t="shared" ref="F106:F169" si="4">ROUND(B106/10,0)*10</f>
        <v>290</v>
      </c>
      <c r="G106" s="22" t="s">
        <v>38</v>
      </c>
      <c r="I106">
        <v>0</v>
      </c>
    </row>
    <row r="107" spans="1:9" ht="25">
      <c r="A107" s="1">
        <v>42039</v>
      </c>
      <c r="B107" s="19">
        <v>213</v>
      </c>
      <c r="C107" s="20" t="s">
        <v>12</v>
      </c>
      <c r="D107" s="20">
        <v>0</v>
      </c>
      <c r="E107" s="19" t="s">
        <v>13</v>
      </c>
      <c r="F107">
        <f t="shared" si="4"/>
        <v>210</v>
      </c>
      <c r="G107" s="22" t="s">
        <v>44</v>
      </c>
      <c r="I107">
        <v>0</v>
      </c>
    </row>
    <row r="108" spans="1:9" ht="25">
      <c r="A108" s="1">
        <v>42039</v>
      </c>
      <c r="B108" s="19">
        <v>229.7</v>
      </c>
      <c r="C108" s="20" t="s">
        <v>12</v>
      </c>
      <c r="D108" s="20">
        <v>8</v>
      </c>
      <c r="E108" s="19" t="s">
        <v>13</v>
      </c>
      <c r="F108">
        <f t="shared" si="4"/>
        <v>230</v>
      </c>
      <c r="G108" s="22" t="s">
        <v>43</v>
      </c>
      <c r="I108">
        <v>0</v>
      </c>
    </row>
    <row r="109" spans="1:9" ht="25">
      <c r="A109" s="1">
        <v>42039</v>
      </c>
      <c r="B109" s="19">
        <v>199.2</v>
      </c>
      <c r="C109" s="20" t="s">
        <v>12</v>
      </c>
      <c r="D109" s="20">
        <v>0</v>
      </c>
      <c r="E109" s="19" t="s">
        <v>19</v>
      </c>
      <c r="F109">
        <f t="shared" si="4"/>
        <v>200</v>
      </c>
      <c r="G109" s="22" t="s">
        <v>42</v>
      </c>
      <c r="I109">
        <v>0</v>
      </c>
    </row>
    <row r="110" spans="1:9" ht="25">
      <c r="A110" s="1">
        <v>42039</v>
      </c>
      <c r="B110" s="19">
        <v>210.5</v>
      </c>
      <c r="C110" s="20" t="s">
        <v>12</v>
      </c>
      <c r="D110" s="20">
        <v>8</v>
      </c>
      <c r="E110" s="19" t="s">
        <v>19</v>
      </c>
      <c r="F110">
        <f t="shared" si="4"/>
        <v>210</v>
      </c>
      <c r="G110" s="22" t="s">
        <v>41</v>
      </c>
      <c r="I110">
        <v>0</v>
      </c>
    </row>
    <row r="111" spans="1:9" ht="25">
      <c r="A111" s="1">
        <v>42039</v>
      </c>
      <c r="B111" s="19">
        <v>218</v>
      </c>
      <c r="C111" s="20" t="s">
        <v>20</v>
      </c>
      <c r="D111" s="20">
        <v>8</v>
      </c>
      <c r="E111" s="19" t="s">
        <v>19</v>
      </c>
      <c r="F111">
        <f t="shared" si="4"/>
        <v>220</v>
      </c>
      <c r="G111" s="22" t="s">
        <v>40</v>
      </c>
      <c r="I111">
        <v>0</v>
      </c>
    </row>
    <row r="112" spans="1:9" ht="25">
      <c r="A112" s="1">
        <v>42040</v>
      </c>
      <c r="B112" s="19">
        <v>223.5</v>
      </c>
      <c r="C112" s="20" t="s">
        <v>12</v>
      </c>
      <c r="D112" s="20">
        <v>0</v>
      </c>
      <c r="E112" s="19" t="s">
        <v>13</v>
      </c>
      <c r="F112">
        <f t="shared" si="4"/>
        <v>220</v>
      </c>
      <c r="G112" s="22" t="s">
        <v>46</v>
      </c>
      <c r="I112">
        <v>0</v>
      </c>
    </row>
    <row r="113" spans="1:9" ht="25">
      <c r="A113" s="1">
        <v>42040</v>
      </c>
      <c r="B113" s="19">
        <v>223.5</v>
      </c>
      <c r="C113" s="20" t="s">
        <v>12</v>
      </c>
      <c r="D113" s="20">
        <v>8</v>
      </c>
      <c r="E113" s="19" t="s">
        <v>13</v>
      </c>
      <c r="F113">
        <f t="shared" si="4"/>
        <v>220</v>
      </c>
      <c r="G113" s="22" t="s">
        <v>46</v>
      </c>
      <c r="I113">
        <v>0</v>
      </c>
    </row>
    <row r="114" spans="1:9" ht="25">
      <c r="A114" s="1">
        <v>42040</v>
      </c>
      <c r="B114" s="19">
        <v>223.5</v>
      </c>
      <c r="C114" s="20" t="s">
        <v>12</v>
      </c>
      <c r="D114" s="20">
        <v>0</v>
      </c>
      <c r="E114" s="19" t="s">
        <v>19</v>
      </c>
      <c r="F114">
        <f t="shared" si="4"/>
        <v>220</v>
      </c>
      <c r="G114" s="22" t="s">
        <v>46</v>
      </c>
      <c r="I114">
        <v>0</v>
      </c>
    </row>
    <row r="115" spans="1:9" ht="25">
      <c r="A115" s="1">
        <v>42040</v>
      </c>
      <c r="B115" s="19">
        <v>223.5</v>
      </c>
      <c r="C115" s="20" t="s">
        <v>12</v>
      </c>
      <c r="D115" s="20">
        <v>8</v>
      </c>
      <c r="E115" s="19" t="s">
        <v>19</v>
      </c>
      <c r="F115">
        <f t="shared" si="4"/>
        <v>220</v>
      </c>
      <c r="G115" s="22" t="s">
        <v>46</v>
      </c>
      <c r="I115">
        <v>0</v>
      </c>
    </row>
    <row r="116" spans="1:9" ht="25">
      <c r="A116" s="1">
        <v>42040</v>
      </c>
      <c r="B116" s="19">
        <v>218.2</v>
      </c>
      <c r="C116" s="20" t="s">
        <v>20</v>
      </c>
      <c r="D116" s="20">
        <v>8</v>
      </c>
      <c r="E116" s="19" t="s">
        <v>19</v>
      </c>
      <c r="F116">
        <f t="shared" si="4"/>
        <v>220</v>
      </c>
      <c r="G116" s="22" t="s">
        <v>45</v>
      </c>
      <c r="I116">
        <v>0</v>
      </c>
    </row>
    <row r="117" spans="1:9" ht="25">
      <c r="A117" s="1">
        <v>42041</v>
      </c>
      <c r="B117">
        <v>208.5</v>
      </c>
      <c r="C117" s="20" t="s">
        <v>12</v>
      </c>
      <c r="D117" s="20">
        <v>0</v>
      </c>
      <c r="E117" s="19" t="s">
        <v>13</v>
      </c>
      <c r="F117">
        <f t="shared" si="4"/>
        <v>210</v>
      </c>
      <c r="G117" s="22" t="s">
        <v>48</v>
      </c>
      <c r="I117">
        <v>0</v>
      </c>
    </row>
    <row r="118" spans="1:9" ht="25">
      <c r="A118" s="1">
        <v>42041</v>
      </c>
      <c r="B118">
        <v>208.5</v>
      </c>
      <c r="C118" s="20" t="s">
        <v>12</v>
      </c>
      <c r="D118" s="20">
        <v>8</v>
      </c>
      <c r="E118" s="19" t="s">
        <v>13</v>
      </c>
      <c r="F118">
        <f t="shared" si="4"/>
        <v>210</v>
      </c>
      <c r="G118" s="22" t="s">
        <v>48</v>
      </c>
      <c r="I118">
        <v>0</v>
      </c>
    </row>
    <row r="119" spans="1:9" ht="25">
      <c r="A119" s="1">
        <v>42041</v>
      </c>
      <c r="B119">
        <v>208.5</v>
      </c>
      <c r="C119" s="20" t="s">
        <v>12</v>
      </c>
      <c r="D119" s="20">
        <v>0</v>
      </c>
      <c r="E119" s="19" t="s">
        <v>19</v>
      </c>
      <c r="F119">
        <f t="shared" si="4"/>
        <v>210</v>
      </c>
      <c r="G119" s="22" t="s">
        <v>48</v>
      </c>
      <c r="I119">
        <v>0</v>
      </c>
    </row>
    <row r="120" spans="1:9" ht="25">
      <c r="A120" s="1">
        <v>42041</v>
      </c>
      <c r="B120">
        <v>208.5</v>
      </c>
      <c r="C120" s="20" t="s">
        <v>12</v>
      </c>
      <c r="D120" s="20">
        <v>8</v>
      </c>
      <c r="E120" s="19" t="s">
        <v>19</v>
      </c>
      <c r="F120">
        <f t="shared" si="4"/>
        <v>210</v>
      </c>
      <c r="G120" s="22" t="s">
        <v>48</v>
      </c>
      <c r="I120">
        <v>0</v>
      </c>
    </row>
    <row r="121" spans="1:9" ht="25">
      <c r="A121" s="1">
        <v>42041</v>
      </c>
      <c r="B121">
        <v>212.2</v>
      </c>
      <c r="C121" s="20" t="s">
        <v>20</v>
      </c>
      <c r="D121" s="20">
        <v>8</v>
      </c>
      <c r="E121" s="19" t="s">
        <v>19</v>
      </c>
      <c r="F121">
        <f t="shared" si="4"/>
        <v>210</v>
      </c>
      <c r="G121" s="22" t="s">
        <v>47</v>
      </c>
      <c r="I121">
        <v>0</v>
      </c>
    </row>
    <row r="122" spans="1:9" ht="25">
      <c r="A122" s="1">
        <v>42041</v>
      </c>
      <c r="B122">
        <v>239.9</v>
      </c>
      <c r="C122" s="20" t="s">
        <v>12</v>
      </c>
      <c r="D122" s="20">
        <v>0</v>
      </c>
      <c r="E122" s="19" t="s">
        <v>13</v>
      </c>
      <c r="F122">
        <f t="shared" si="4"/>
        <v>240</v>
      </c>
      <c r="G122" s="22" t="s">
        <v>50</v>
      </c>
      <c r="I122">
        <v>0</v>
      </c>
    </row>
    <row r="123" spans="1:9" ht="25">
      <c r="A123" s="1">
        <v>42041</v>
      </c>
      <c r="B123">
        <v>239.9</v>
      </c>
      <c r="C123" s="20" t="s">
        <v>12</v>
      </c>
      <c r="D123" s="20">
        <v>8</v>
      </c>
      <c r="E123" s="19" t="s">
        <v>13</v>
      </c>
      <c r="F123">
        <f t="shared" si="4"/>
        <v>240</v>
      </c>
      <c r="G123" s="22" t="s">
        <v>50</v>
      </c>
      <c r="I123">
        <v>0</v>
      </c>
    </row>
    <row r="124" spans="1:9" ht="25">
      <c r="A124" s="1">
        <v>42041</v>
      </c>
      <c r="B124">
        <v>229.2</v>
      </c>
      <c r="C124" s="20" t="s">
        <v>12</v>
      </c>
      <c r="D124" s="20">
        <v>0</v>
      </c>
      <c r="E124" s="19" t="s">
        <v>19</v>
      </c>
      <c r="F124">
        <f t="shared" si="4"/>
        <v>230</v>
      </c>
      <c r="G124" s="22" t="s">
        <v>51</v>
      </c>
      <c r="I124">
        <v>0</v>
      </c>
    </row>
    <row r="125" spans="1:9" ht="25">
      <c r="A125" s="1">
        <v>42041</v>
      </c>
      <c r="B125">
        <v>239.9</v>
      </c>
      <c r="C125" s="20" t="s">
        <v>12</v>
      </c>
      <c r="D125" s="20">
        <v>8</v>
      </c>
      <c r="E125" s="19" t="s">
        <v>19</v>
      </c>
      <c r="F125">
        <f t="shared" si="4"/>
        <v>240</v>
      </c>
      <c r="G125" s="22" t="s">
        <v>50</v>
      </c>
      <c r="I125">
        <v>0</v>
      </c>
    </row>
    <row r="126" spans="1:9" ht="25">
      <c r="A126" s="1">
        <v>42041</v>
      </c>
      <c r="B126">
        <v>213.7</v>
      </c>
      <c r="C126" s="20" t="s">
        <v>20</v>
      </c>
      <c r="D126" s="20">
        <v>8</v>
      </c>
      <c r="E126" s="19" t="s">
        <v>19</v>
      </c>
      <c r="F126">
        <f t="shared" si="4"/>
        <v>210</v>
      </c>
      <c r="G126" s="22" t="s">
        <v>49</v>
      </c>
      <c r="I126">
        <v>0</v>
      </c>
    </row>
    <row r="127" spans="1:9" ht="25">
      <c r="A127" s="1">
        <v>42042</v>
      </c>
      <c r="B127">
        <v>232.5</v>
      </c>
      <c r="C127" s="20" t="s">
        <v>12</v>
      </c>
      <c r="D127" s="20">
        <v>0</v>
      </c>
      <c r="E127" s="19" t="s">
        <v>13</v>
      </c>
      <c r="F127">
        <f t="shared" si="4"/>
        <v>230</v>
      </c>
      <c r="G127" s="22" t="s">
        <v>52</v>
      </c>
      <c r="I127">
        <v>0</v>
      </c>
    </row>
    <row r="128" spans="1:9" ht="25">
      <c r="A128" s="1">
        <v>42042</v>
      </c>
      <c r="B128">
        <v>188.4</v>
      </c>
      <c r="C128" s="20" t="s">
        <v>12</v>
      </c>
      <c r="D128" s="20">
        <v>8</v>
      </c>
      <c r="E128" s="19" t="s">
        <v>13</v>
      </c>
      <c r="F128">
        <f t="shared" si="4"/>
        <v>190</v>
      </c>
      <c r="G128" s="22" t="s">
        <v>53</v>
      </c>
      <c r="I128">
        <v>0</v>
      </c>
    </row>
    <row r="129" spans="1:9" ht="25">
      <c r="A129" s="1">
        <v>42042</v>
      </c>
      <c r="B129">
        <v>232.5</v>
      </c>
      <c r="C129" s="20" t="s">
        <v>12</v>
      </c>
      <c r="D129" s="20">
        <v>0</v>
      </c>
      <c r="E129" s="19" t="s">
        <v>19</v>
      </c>
      <c r="F129">
        <f t="shared" si="4"/>
        <v>230</v>
      </c>
      <c r="G129" s="22" t="s">
        <v>52</v>
      </c>
      <c r="I129">
        <v>0</v>
      </c>
    </row>
    <row r="130" spans="1:9" ht="25">
      <c r="A130" s="1">
        <v>42042</v>
      </c>
      <c r="B130">
        <v>188.4</v>
      </c>
      <c r="C130" s="20" t="s">
        <v>12</v>
      </c>
      <c r="D130" s="20">
        <v>8</v>
      </c>
      <c r="E130" s="19" t="s">
        <v>19</v>
      </c>
      <c r="F130">
        <f t="shared" si="4"/>
        <v>190</v>
      </c>
      <c r="G130" s="22" t="s">
        <v>53</v>
      </c>
      <c r="I130">
        <v>0</v>
      </c>
    </row>
    <row r="131" spans="1:9" ht="25">
      <c r="A131" s="1">
        <v>42042</v>
      </c>
      <c r="B131">
        <v>244</v>
      </c>
      <c r="C131" s="20" t="s">
        <v>20</v>
      </c>
      <c r="D131" s="20">
        <v>8</v>
      </c>
      <c r="E131" s="19" t="s">
        <v>19</v>
      </c>
      <c r="F131">
        <f t="shared" si="4"/>
        <v>240</v>
      </c>
      <c r="G131" s="22" t="s">
        <v>54</v>
      </c>
      <c r="I131">
        <v>0</v>
      </c>
    </row>
    <row r="132" spans="1:9" ht="25">
      <c r="A132" s="1">
        <v>42042</v>
      </c>
      <c r="B132">
        <v>248.9</v>
      </c>
      <c r="C132" s="20" t="s">
        <v>56</v>
      </c>
      <c r="D132" s="20">
        <v>8</v>
      </c>
      <c r="E132" s="19" t="s">
        <v>13</v>
      </c>
      <c r="F132">
        <f t="shared" si="4"/>
        <v>250</v>
      </c>
      <c r="G132" s="22" t="s">
        <v>55</v>
      </c>
      <c r="I132">
        <v>0</v>
      </c>
    </row>
    <row r="133" spans="1:9" ht="25">
      <c r="A133" s="1">
        <v>42043</v>
      </c>
      <c r="B133">
        <v>159.4</v>
      </c>
      <c r="C133" s="20" t="s">
        <v>12</v>
      </c>
      <c r="D133" s="20">
        <v>0</v>
      </c>
      <c r="E133" s="19" t="s">
        <v>13</v>
      </c>
      <c r="F133">
        <f t="shared" si="4"/>
        <v>160</v>
      </c>
      <c r="G133" s="22" t="s">
        <v>60</v>
      </c>
      <c r="I133">
        <v>0</v>
      </c>
    </row>
    <row r="134" spans="1:9" ht="25">
      <c r="A134" s="1">
        <v>42043</v>
      </c>
      <c r="B134">
        <v>159.4</v>
      </c>
      <c r="C134" s="20" t="s">
        <v>12</v>
      </c>
      <c r="D134" s="20">
        <v>8</v>
      </c>
      <c r="E134" s="19" t="s">
        <v>13</v>
      </c>
      <c r="F134">
        <f t="shared" si="4"/>
        <v>160</v>
      </c>
      <c r="G134" s="22" t="s">
        <v>60</v>
      </c>
      <c r="I134">
        <v>0</v>
      </c>
    </row>
    <row r="135" spans="1:9" ht="25">
      <c r="A135" s="1">
        <v>42043</v>
      </c>
      <c r="B135">
        <v>159.4</v>
      </c>
      <c r="C135" s="20" t="s">
        <v>12</v>
      </c>
      <c r="D135" s="20">
        <v>0</v>
      </c>
      <c r="E135" s="19" t="s">
        <v>19</v>
      </c>
      <c r="F135">
        <f t="shared" si="4"/>
        <v>160</v>
      </c>
      <c r="G135" s="22" t="s">
        <v>60</v>
      </c>
      <c r="I135">
        <v>0</v>
      </c>
    </row>
    <row r="136" spans="1:9" ht="25">
      <c r="A136" s="1">
        <v>42043</v>
      </c>
      <c r="B136">
        <v>187.1</v>
      </c>
      <c r="C136" s="20" t="s">
        <v>12</v>
      </c>
      <c r="D136" s="20">
        <v>8</v>
      </c>
      <c r="E136" s="19" t="s">
        <v>19</v>
      </c>
      <c r="F136">
        <f t="shared" si="4"/>
        <v>190</v>
      </c>
      <c r="G136" s="22" t="s">
        <v>59</v>
      </c>
      <c r="I136">
        <v>0</v>
      </c>
    </row>
    <row r="137" spans="1:9" ht="25">
      <c r="A137" s="1">
        <v>42043</v>
      </c>
      <c r="B137">
        <v>194.6</v>
      </c>
      <c r="C137" s="20" t="s">
        <v>20</v>
      </c>
      <c r="D137" s="20">
        <v>8</v>
      </c>
      <c r="E137" s="19" t="s">
        <v>19</v>
      </c>
      <c r="F137">
        <f t="shared" si="4"/>
        <v>190</v>
      </c>
      <c r="G137" s="22" t="s">
        <v>58</v>
      </c>
      <c r="I137">
        <v>0</v>
      </c>
    </row>
    <row r="138" spans="1:9" ht="25">
      <c r="A138" s="1">
        <v>42043</v>
      </c>
      <c r="B138">
        <v>176.7</v>
      </c>
      <c r="C138" s="20" t="s">
        <v>56</v>
      </c>
      <c r="D138" s="20">
        <v>8</v>
      </c>
      <c r="E138" s="19" t="s">
        <v>13</v>
      </c>
      <c r="F138">
        <f t="shared" si="4"/>
        <v>180</v>
      </c>
      <c r="G138" s="22" t="s">
        <v>57</v>
      </c>
      <c r="I138">
        <v>0</v>
      </c>
    </row>
    <row r="139" spans="1:9" ht="25">
      <c r="A139" s="1">
        <v>42044</v>
      </c>
      <c r="B139">
        <v>210.6</v>
      </c>
      <c r="C139" s="20" t="s">
        <v>12</v>
      </c>
      <c r="D139" s="20">
        <v>0</v>
      </c>
      <c r="E139" s="19" t="s">
        <v>13</v>
      </c>
      <c r="F139">
        <f t="shared" si="4"/>
        <v>210</v>
      </c>
      <c r="G139" s="22" t="s">
        <v>62</v>
      </c>
      <c r="I139">
        <v>0</v>
      </c>
    </row>
    <row r="140" spans="1:9" ht="25">
      <c r="A140" s="1">
        <v>42044</v>
      </c>
      <c r="B140">
        <v>203.9</v>
      </c>
      <c r="C140" s="20" t="s">
        <v>12</v>
      </c>
      <c r="D140" s="20">
        <v>8</v>
      </c>
      <c r="E140" s="19" t="s">
        <v>13</v>
      </c>
      <c r="F140">
        <f t="shared" si="4"/>
        <v>200</v>
      </c>
      <c r="G140" s="22" t="s">
        <v>63</v>
      </c>
      <c r="I140">
        <v>0</v>
      </c>
    </row>
    <row r="141" spans="1:9" ht="25">
      <c r="A141" s="1">
        <v>42044</v>
      </c>
      <c r="B141">
        <v>221.5</v>
      </c>
      <c r="C141" s="20" t="s">
        <v>12</v>
      </c>
      <c r="D141" s="20">
        <v>0</v>
      </c>
      <c r="E141" s="19" t="s">
        <v>19</v>
      </c>
      <c r="F141">
        <f t="shared" si="4"/>
        <v>220</v>
      </c>
      <c r="G141" s="22" t="s">
        <v>61</v>
      </c>
      <c r="I141">
        <v>0</v>
      </c>
    </row>
    <row r="142" spans="1:9" ht="25">
      <c r="A142" s="1">
        <v>42044</v>
      </c>
      <c r="B142">
        <v>221.5</v>
      </c>
      <c r="C142" s="20" t="s">
        <v>12</v>
      </c>
      <c r="D142" s="20">
        <v>8</v>
      </c>
      <c r="E142" s="19" t="s">
        <v>19</v>
      </c>
      <c r="F142">
        <f t="shared" si="4"/>
        <v>220</v>
      </c>
      <c r="G142" s="22" t="s">
        <v>61</v>
      </c>
      <c r="I142">
        <v>0</v>
      </c>
    </row>
    <row r="143" spans="1:9" ht="25">
      <c r="A143" s="1">
        <v>42044</v>
      </c>
      <c r="B143">
        <v>218.5</v>
      </c>
      <c r="C143" s="20" t="s">
        <v>20</v>
      </c>
      <c r="D143" s="20">
        <v>8</v>
      </c>
      <c r="E143" s="19" t="s">
        <v>19</v>
      </c>
      <c r="F143">
        <f t="shared" si="4"/>
        <v>220</v>
      </c>
      <c r="G143" s="22" t="s">
        <v>64</v>
      </c>
      <c r="I143">
        <v>0</v>
      </c>
    </row>
    <row r="144" spans="1:9" ht="25">
      <c r="A144" s="1">
        <v>42044</v>
      </c>
      <c r="B144">
        <v>199.8</v>
      </c>
      <c r="C144" s="20" t="s">
        <v>56</v>
      </c>
      <c r="D144" s="20">
        <v>8</v>
      </c>
      <c r="E144" s="19" t="s">
        <v>13</v>
      </c>
      <c r="F144">
        <f t="shared" si="4"/>
        <v>200</v>
      </c>
      <c r="G144" s="22" t="s">
        <v>65</v>
      </c>
      <c r="I144">
        <v>0</v>
      </c>
    </row>
    <row r="145" spans="1:9" ht="25">
      <c r="A145" s="1">
        <v>42046</v>
      </c>
      <c r="B145">
        <v>205.5</v>
      </c>
      <c r="C145" s="20" t="s">
        <v>12</v>
      </c>
      <c r="D145" s="20">
        <v>0</v>
      </c>
      <c r="E145" s="19" t="s">
        <v>13</v>
      </c>
      <c r="F145">
        <f t="shared" si="4"/>
        <v>210</v>
      </c>
      <c r="G145" s="22" t="s">
        <v>69</v>
      </c>
      <c r="I145">
        <v>0</v>
      </c>
    </row>
    <row r="146" spans="1:9" ht="25">
      <c r="A146" s="1">
        <v>42046</v>
      </c>
      <c r="B146">
        <v>222</v>
      </c>
      <c r="C146" s="20" t="s">
        <v>12</v>
      </c>
      <c r="D146" s="20">
        <v>8</v>
      </c>
      <c r="E146" s="19" t="s">
        <v>13</v>
      </c>
      <c r="F146">
        <f t="shared" si="4"/>
        <v>220</v>
      </c>
      <c r="G146" s="22" t="s">
        <v>68</v>
      </c>
      <c r="I146">
        <v>0</v>
      </c>
    </row>
    <row r="147" spans="1:9" ht="25">
      <c r="A147" s="1">
        <v>42046</v>
      </c>
      <c r="B147">
        <v>203.3</v>
      </c>
      <c r="C147" s="20" t="s">
        <v>20</v>
      </c>
      <c r="D147" s="20">
        <v>8</v>
      </c>
      <c r="E147" s="19" t="s">
        <v>19</v>
      </c>
      <c r="F147">
        <f t="shared" si="4"/>
        <v>200</v>
      </c>
      <c r="G147" s="22" t="s">
        <v>67</v>
      </c>
      <c r="I147">
        <v>0</v>
      </c>
    </row>
    <row r="148" spans="1:9" ht="25">
      <c r="A148" s="1">
        <v>42046</v>
      </c>
      <c r="B148">
        <v>219.4</v>
      </c>
      <c r="C148" s="20" t="s">
        <v>56</v>
      </c>
      <c r="D148" s="20">
        <v>8</v>
      </c>
      <c r="E148" s="19" t="s">
        <v>13</v>
      </c>
      <c r="F148">
        <f t="shared" si="4"/>
        <v>220</v>
      </c>
      <c r="G148" s="22" t="s">
        <v>66</v>
      </c>
      <c r="I148">
        <v>0</v>
      </c>
    </row>
    <row r="149" spans="1:9" ht="25">
      <c r="A149" s="1">
        <v>42047</v>
      </c>
      <c r="B149">
        <v>216.5</v>
      </c>
      <c r="C149" s="20" t="s">
        <v>12</v>
      </c>
      <c r="D149" s="20">
        <v>0</v>
      </c>
      <c r="E149" s="19" t="s">
        <v>13</v>
      </c>
      <c r="F149">
        <f t="shared" si="4"/>
        <v>220</v>
      </c>
      <c r="G149" s="22" t="s">
        <v>72</v>
      </c>
      <c r="I149">
        <v>0</v>
      </c>
    </row>
    <row r="150" spans="1:9" ht="25">
      <c r="A150" s="1">
        <v>42047</v>
      </c>
      <c r="B150">
        <v>216.5</v>
      </c>
      <c r="C150" s="20" t="s">
        <v>12</v>
      </c>
      <c r="D150" s="20">
        <v>8</v>
      </c>
      <c r="E150" s="19" t="s">
        <v>13</v>
      </c>
      <c r="F150">
        <f t="shared" si="4"/>
        <v>220</v>
      </c>
      <c r="G150" s="22" t="s">
        <v>72</v>
      </c>
      <c r="I150">
        <v>0</v>
      </c>
    </row>
    <row r="151" spans="1:9" ht="25">
      <c r="A151" s="1">
        <v>42047</v>
      </c>
      <c r="B151">
        <v>166.3</v>
      </c>
      <c r="C151" s="20" t="s">
        <v>20</v>
      </c>
      <c r="D151" s="20">
        <v>8</v>
      </c>
      <c r="E151" s="19" t="s">
        <v>19</v>
      </c>
      <c r="F151">
        <f t="shared" si="4"/>
        <v>170</v>
      </c>
      <c r="G151" s="22" t="s">
        <v>71</v>
      </c>
      <c r="I151">
        <v>0</v>
      </c>
    </row>
    <row r="152" spans="1:9" ht="25">
      <c r="A152" s="1">
        <v>42047</v>
      </c>
      <c r="B152">
        <v>168</v>
      </c>
      <c r="C152" s="20" t="s">
        <v>56</v>
      </c>
      <c r="D152" s="20">
        <v>8</v>
      </c>
      <c r="E152" s="19" t="s">
        <v>13</v>
      </c>
      <c r="F152">
        <f t="shared" si="4"/>
        <v>170</v>
      </c>
      <c r="G152" s="22" t="s">
        <v>70</v>
      </c>
      <c r="I152">
        <v>0</v>
      </c>
    </row>
    <row r="153" spans="1:9" ht="25">
      <c r="A153" s="1">
        <v>42049</v>
      </c>
      <c r="B153">
        <v>195.1</v>
      </c>
      <c r="C153" s="20" t="s">
        <v>12</v>
      </c>
      <c r="D153" s="20">
        <v>0</v>
      </c>
      <c r="E153" s="19" t="s">
        <v>13</v>
      </c>
      <c r="F153">
        <f t="shared" si="4"/>
        <v>200</v>
      </c>
      <c r="G153" s="22" t="s">
        <v>73</v>
      </c>
      <c r="I153">
        <v>0</v>
      </c>
    </row>
    <row r="154" spans="1:9" ht="25">
      <c r="A154" s="1">
        <v>42049</v>
      </c>
      <c r="B154">
        <v>222.4</v>
      </c>
      <c r="C154" s="20" t="s">
        <v>12</v>
      </c>
      <c r="D154" s="20">
        <v>8</v>
      </c>
      <c r="E154" s="19" t="s">
        <v>13</v>
      </c>
      <c r="F154">
        <f t="shared" si="4"/>
        <v>220</v>
      </c>
      <c r="G154" s="22" t="s">
        <v>74</v>
      </c>
      <c r="I154">
        <v>0</v>
      </c>
    </row>
    <row r="155" spans="1:9" ht="25">
      <c r="A155" s="1">
        <v>42049</v>
      </c>
      <c r="B155">
        <v>205</v>
      </c>
      <c r="C155" s="20" t="s">
        <v>20</v>
      </c>
      <c r="D155" s="20">
        <v>8</v>
      </c>
      <c r="E155" s="19" t="s">
        <v>19</v>
      </c>
      <c r="F155">
        <f t="shared" si="4"/>
        <v>210</v>
      </c>
      <c r="G155" s="22" t="s">
        <v>75</v>
      </c>
      <c r="I155">
        <v>0</v>
      </c>
    </row>
    <row r="156" spans="1:9" ht="25">
      <c r="A156" s="1">
        <v>42049</v>
      </c>
      <c r="B156">
        <v>222.4</v>
      </c>
      <c r="C156" s="20" t="s">
        <v>56</v>
      </c>
      <c r="D156" s="20">
        <v>8</v>
      </c>
      <c r="E156" s="19" t="s">
        <v>13</v>
      </c>
      <c r="F156">
        <f t="shared" si="4"/>
        <v>220</v>
      </c>
      <c r="G156" s="22" t="s">
        <v>74</v>
      </c>
      <c r="I156">
        <v>0</v>
      </c>
    </row>
    <row r="157" spans="1:9" ht="25">
      <c r="A157" s="1">
        <v>42049</v>
      </c>
      <c r="B157">
        <v>200</v>
      </c>
      <c r="C157" s="20" t="s">
        <v>12</v>
      </c>
      <c r="D157" s="20">
        <v>0</v>
      </c>
      <c r="E157" s="19" t="s">
        <v>13</v>
      </c>
      <c r="F157">
        <f t="shared" si="4"/>
        <v>200</v>
      </c>
      <c r="G157" s="22" t="s">
        <v>76</v>
      </c>
      <c r="I157">
        <v>0</v>
      </c>
    </row>
    <row r="158" spans="1:9" ht="25">
      <c r="A158" s="1">
        <v>42049</v>
      </c>
      <c r="B158">
        <v>234.8</v>
      </c>
      <c r="C158" s="20" t="s">
        <v>12</v>
      </c>
      <c r="D158" s="20">
        <v>8</v>
      </c>
      <c r="E158" s="19" t="s">
        <v>13</v>
      </c>
      <c r="F158">
        <f t="shared" si="4"/>
        <v>230</v>
      </c>
      <c r="G158" s="22" t="s">
        <v>77</v>
      </c>
      <c r="I158">
        <v>0</v>
      </c>
    </row>
    <row r="159" spans="1:9" ht="25">
      <c r="A159" s="1">
        <v>42049</v>
      </c>
      <c r="B159">
        <v>222.3</v>
      </c>
      <c r="C159" s="20" t="s">
        <v>20</v>
      </c>
      <c r="D159" s="20">
        <v>8</v>
      </c>
      <c r="E159" s="19" t="s">
        <v>19</v>
      </c>
      <c r="F159">
        <f t="shared" si="4"/>
        <v>220</v>
      </c>
      <c r="G159" s="22" t="s">
        <v>78</v>
      </c>
      <c r="I159">
        <v>0</v>
      </c>
    </row>
    <row r="160" spans="1:9" ht="25">
      <c r="A160" s="1">
        <v>42049</v>
      </c>
      <c r="B160">
        <v>220.9</v>
      </c>
      <c r="C160" s="20" t="s">
        <v>56</v>
      </c>
      <c r="D160" s="20">
        <v>8</v>
      </c>
      <c r="E160" s="19" t="s">
        <v>13</v>
      </c>
      <c r="F160">
        <f t="shared" si="4"/>
        <v>220</v>
      </c>
      <c r="G160" s="22" t="s">
        <v>79</v>
      </c>
      <c r="I160">
        <v>0</v>
      </c>
    </row>
    <row r="161" spans="1:9" ht="25">
      <c r="A161" s="1">
        <v>42050</v>
      </c>
      <c r="B161">
        <v>235</v>
      </c>
      <c r="C161" s="20" t="s">
        <v>12</v>
      </c>
      <c r="D161" s="20">
        <v>0</v>
      </c>
      <c r="E161" s="19" t="s">
        <v>13</v>
      </c>
      <c r="F161">
        <f t="shared" si="4"/>
        <v>240</v>
      </c>
      <c r="G161" s="22" t="s">
        <v>80</v>
      </c>
      <c r="I161">
        <v>0</v>
      </c>
    </row>
    <row r="162" spans="1:9" ht="25">
      <c r="A162" s="1">
        <v>42050</v>
      </c>
      <c r="B162">
        <v>235</v>
      </c>
      <c r="C162" s="20" t="s">
        <v>12</v>
      </c>
      <c r="D162" s="20">
        <v>8</v>
      </c>
      <c r="E162" s="19" t="s">
        <v>13</v>
      </c>
      <c r="F162">
        <f t="shared" si="4"/>
        <v>240</v>
      </c>
      <c r="G162" s="22" t="s">
        <v>80</v>
      </c>
      <c r="I162">
        <v>0</v>
      </c>
    </row>
    <row r="163" spans="1:9" ht="25">
      <c r="A163" s="1">
        <v>42050</v>
      </c>
      <c r="B163">
        <v>235</v>
      </c>
      <c r="C163" s="20" t="s">
        <v>20</v>
      </c>
      <c r="D163" s="20">
        <v>8</v>
      </c>
      <c r="E163" s="19" t="s">
        <v>19</v>
      </c>
      <c r="F163">
        <f t="shared" si="4"/>
        <v>240</v>
      </c>
      <c r="G163" s="22" t="s">
        <v>80</v>
      </c>
      <c r="I163">
        <v>0</v>
      </c>
    </row>
    <row r="164" spans="1:9" ht="25">
      <c r="A164" s="1">
        <v>42050</v>
      </c>
      <c r="B164">
        <v>235</v>
      </c>
      <c r="C164" s="20" t="s">
        <v>56</v>
      </c>
      <c r="D164" s="20">
        <v>8</v>
      </c>
      <c r="E164" s="19" t="s">
        <v>13</v>
      </c>
      <c r="F164">
        <f t="shared" si="4"/>
        <v>240</v>
      </c>
      <c r="G164" s="22" t="s">
        <v>80</v>
      </c>
      <c r="I164">
        <v>0</v>
      </c>
    </row>
    <row r="165" spans="1:9" ht="25">
      <c r="A165" s="1">
        <v>42050</v>
      </c>
      <c r="B165">
        <v>252.4</v>
      </c>
      <c r="C165" s="20" t="s">
        <v>12</v>
      </c>
      <c r="D165" s="20">
        <v>0</v>
      </c>
      <c r="E165" s="19" t="s">
        <v>13</v>
      </c>
      <c r="F165">
        <f t="shared" si="4"/>
        <v>250</v>
      </c>
      <c r="G165" s="22" t="s">
        <v>82</v>
      </c>
      <c r="I165">
        <v>0</v>
      </c>
    </row>
    <row r="166" spans="1:9" ht="25">
      <c r="A166" s="1">
        <v>42050</v>
      </c>
      <c r="B166">
        <v>212.7</v>
      </c>
      <c r="C166" s="20" t="s">
        <v>12</v>
      </c>
      <c r="D166" s="20">
        <v>8</v>
      </c>
      <c r="E166" s="19" t="s">
        <v>13</v>
      </c>
      <c r="F166">
        <f t="shared" si="4"/>
        <v>210</v>
      </c>
      <c r="G166" s="22" t="s">
        <v>81</v>
      </c>
      <c r="I166">
        <v>0</v>
      </c>
    </row>
    <row r="167" spans="1:9" ht="25">
      <c r="A167" s="1">
        <v>42050</v>
      </c>
      <c r="B167">
        <v>222.9</v>
      </c>
      <c r="C167" s="20" t="s">
        <v>20</v>
      </c>
      <c r="D167" s="20">
        <v>8</v>
      </c>
      <c r="E167" s="19" t="s">
        <v>19</v>
      </c>
      <c r="F167">
        <f t="shared" si="4"/>
        <v>220</v>
      </c>
      <c r="G167" s="22" t="s">
        <v>83</v>
      </c>
      <c r="I167">
        <v>0</v>
      </c>
    </row>
    <row r="168" spans="1:9" ht="25">
      <c r="A168" s="1">
        <v>42050</v>
      </c>
      <c r="B168">
        <v>212.7</v>
      </c>
      <c r="C168" s="20" t="s">
        <v>56</v>
      </c>
      <c r="D168" s="20">
        <v>8</v>
      </c>
      <c r="E168" s="19" t="s">
        <v>13</v>
      </c>
      <c r="F168">
        <f t="shared" si="4"/>
        <v>210</v>
      </c>
      <c r="G168" s="22" t="s">
        <v>81</v>
      </c>
      <c r="I168">
        <v>0</v>
      </c>
    </row>
    <row r="169" spans="1:9" ht="25">
      <c r="A169" s="1">
        <v>42051</v>
      </c>
      <c r="B169">
        <v>183.9</v>
      </c>
      <c r="C169" s="20" t="s">
        <v>12</v>
      </c>
      <c r="D169" s="20">
        <v>0</v>
      </c>
      <c r="E169" s="19" t="s">
        <v>13</v>
      </c>
      <c r="F169">
        <f t="shared" si="4"/>
        <v>180</v>
      </c>
      <c r="G169" s="22" t="s">
        <v>84</v>
      </c>
      <c r="I169">
        <v>0</v>
      </c>
    </row>
    <row r="170" spans="1:9" ht="25">
      <c r="A170" s="1">
        <v>42051</v>
      </c>
      <c r="B170">
        <v>213.2</v>
      </c>
      <c r="C170" s="20" t="s">
        <v>12</v>
      </c>
      <c r="D170" s="20">
        <v>8</v>
      </c>
      <c r="E170" s="19" t="s">
        <v>13</v>
      </c>
      <c r="F170">
        <f t="shared" ref="F170:F233" si="5">ROUND(B170/10,0)*10</f>
        <v>210</v>
      </c>
      <c r="G170" s="22" t="s">
        <v>85</v>
      </c>
      <c r="I170">
        <v>0</v>
      </c>
    </row>
    <row r="171" spans="1:9" ht="25">
      <c r="A171" s="1">
        <v>42051</v>
      </c>
      <c r="B171">
        <v>177.7</v>
      </c>
      <c r="C171" s="20" t="s">
        <v>20</v>
      </c>
      <c r="D171" s="20">
        <v>8</v>
      </c>
      <c r="E171" s="19" t="s">
        <v>19</v>
      </c>
      <c r="F171">
        <f t="shared" si="5"/>
        <v>180</v>
      </c>
      <c r="G171" s="22" t="s">
        <v>86</v>
      </c>
      <c r="I171">
        <v>0</v>
      </c>
    </row>
    <row r="172" spans="1:9" ht="25">
      <c r="A172" s="1">
        <v>42051</v>
      </c>
      <c r="B172">
        <v>190.8</v>
      </c>
      <c r="C172" s="20" t="s">
        <v>56</v>
      </c>
      <c r="D172" s="20">
        <v>8</v>
      </c>
      <c r="E172" s="19" t="s">
        <v>13</v>
      </c>
      <c r="F172">
        <f t="shared" si="5"/>
        <v>190</v>
      </c>
      <c r="G172" s="22" t="s">
        <v>87</v>
      </c>
      <c r="I172">
        <v>0</v>
      </c>
    </row>
    <row r="173" spans="1:9" ht="25">
      <c r="A173" s="1">
        <v>42052</v>
      </c>
      <c r="B173">
        <v>150.69999999999999</v>
      </c>
      <c r="C173" s="20" t="s">
        <v>12</v>
      </c>
      <c r="D173" s="20">
        <v>0</v>
      </c>
      <c r="E173" s="19" t="s">
        <v>13</v>
      </c>
      <c r="F173">
        <f t="shared" si="5"/>
        <v>150</v>
      </c>
      <c r="G173" s="22" t="s">
        <v>88</v>
      </c>
      <c r="I173">
        <v>0</v>
      </c>
    </row>
    <row r="174" spans="1:9" ht="25">
      <c r="A174" s="1">
        <v>42052</v>
      </c>
      <c r="B174">
        <v>176.9</v>
      </c>
      <c r="C174" s="20" t="s">
        <v>12</v>
      </c>
      <c r="D174" s="20">
        <v>8</v>
      </c>
      <c r="E174" s="19" t="s">
        <v>13</v>
      </c>
      <c r="F174">
        <f t="shared" si="5"/>
        <v>180</v>
      </c>
      <c r="G174" s="22" t="s">
        <v>89</v>
      </c>
      <c r="I174">
        <v>0</v>
      </c>
    </row>
    <row r="175" spans="1:9" ht="25">
      <c r="A175" s="1">
        <v>42052</v>
      </c>
      <c r="B175">
        <v>150.5</v>
      </c>
      <c r="C175" s="20" t="s">
        <v>20</v>
      </c>
      <c r="D175" s="20">
        <v>8</v>
      </c>
      <c r="E175" s="19" t="s">
        <v>19</v>
      </c>
      <c r="F175">
        <f t="shared" si="5"/>
        <v>150</v>
      </c>
      <c r="G175" s="22" t="s">
        <v>90</v>
      </c>
      <c r="I175">
        <v>0</v>
      </c>
    </row>
    <row r="176" spans="1:9" ht="25">
      <c r="A176" s="1">
        <v>42052</v>
      </c>
      <c r="B176">
        <v>191</v>
      </c>
      <c r="C176" s="20" t="s">
        <v>56</v>
      </c>
      <c r="D176" s="20">
        <v>8</v>
      </c>
      <c r="E176" s="19" t="s">
        <v>13</v>
      </c>
      <c r="F176">
        <f t="shared" si="5"/>
        <v>190</v>
      </c>
      <c r="G176" s="22" t="s">
        <v>91</v>
      </c>
      <c r="I176">
        <v>0</v>
      </c>
    </row>
    <row r="177" spans="1:9" ht="25">
      <c r="A177" s="1">
        <v>42053</v>
      </c>
      <c r="B177">
        <v>235.5</v>
      </c>
      <c r="C177" s="20" t="s">
        <v>12</v>
      </c>
      <c r="D177" s="20">
        <v>0</v>
      </c>
      <c r="E177" s="19" t="s">
        <v>13</v>
      </c>
      <c r="F177">
        <f t="shared" si="5"/>
        <v>240</v>
      </c>
      <c r="G177" s="22" t="s">
        <v>92</v>
      </c>
      <c r="I177">
        <v>0</v>
      </c>
    </row>
    <row r="178" spans="1:9" ht="25">
      <c r="A178" s="1">
        <v>42053</v>
      </c>
      <c r="B178">
        <v>226.9</v>
      </c>
      <c r="C178" s="20" t="s">
        <v>12</v>
      </c>
      <c r="D178" s="20">
        <v>8</v>
      </c>
      <c r="E178" s="19" t="s">
        <v>13</v>
      </c>
      <c r="F178">
        <f t="shared" si="5"/>
        <v>230</v>
      </c>
      <c r="G178" s="22" t="s">
        <v>93</v>
      </c>
      <c r="I178">
        <v>0</v>
      </c>
    </row>
    <row r="179" spans="1:9" ht="25">
      <c r="A179" s="1">
        <v>42053</v>
      </c>
      <c r="B179">
        <v>226.9</v>
      </c>
      <c r="C179" s="20" t="s">
        <v>20</v>
      </c>
      <c r="D179" s="20">
        <v>8</v>
      </c>
      <c r="E179" s="19" t="s">
        <v>19</v>
      </c>
      <c r="F179">
        <f t="shared" si="5"/>
        <v>230</v>
      </c>
      <c r="G179" s="22" t="s">
        <v>93</v>
      </c>
      <c r="I179">
        <v>0</v>
      </c>
    </row>
    <row r="180" spans="1:9" ht="25">
      <c r="A180" s="1">
        <v>42053</v>
      </c>
      <c r="B180">
        <v>226.9</v>
      </c>
      <c r="C180" s="20" t="s">
        <v>56</v>
      </c>
      <c r="D180" s="20">
        <v>8</v>
      </c>
      <c r="E180" s="19" t="s">
        <v>13</v>
      </c>
      <c r="F180">
        <f t="shared" si="5"/>
        <v>230</v>
      </c>
      <c r="G180" s="22" t="s">
        <v>93</v>
      </c>
      <c r="I180">
        <v>0</v>
      </c>
    </row>
    <row r="181" spans="1:9" ht="25">
      <c r="A181" s="1">
        <v>42054</v>
      </c>
      <c r="B181">
        <v>176.1</v>
      </c>
      <c r="C181" s="20" t="s">
        <v>12</v>
      </c>
      <c r="D181" s="20">
        <v>0</v>
      </c>
      <c r="E181" s="19" t="s">
        <v>13</v>
      </c>
      <c r="F181">
        <f t="shared" si="5"/>
        <v>180</v>
      </c>
      <c r="G181" s="22" t="s">
        <v>94</v>
      </c>
      <c r="I181">
        <v>0</v>
      </c>
    </row>
    <row r="182" spans="1:9" ht="25">
      <c r="A182" s="1">
        <v>42054</v>
      </c>
      <c r="B182">
        <v>219.4</v>
      </c>
      <c r="C182" s="20" t="s">
        <v>12</v>
      </c>
      <c r="D182" s="20">
        <v>8</v>
      </c>
      <c r="E182" s="19" t="s">
        <v>13</v>
      </c>
      <c r="F182">
        <f t="shared" si="5"/>
        <v>220</v>
      </c>
      <c r="G182" s="22" t="s">
        <v>95</v>
      </c>
      <c r="I182">
        <v>0</v>
      </c>
    </row>
    <row r="183" spans="1:9" ht="25">
      <c r="A183" s="1">
        <v>42054</v>
      </c>
      <c r="B183">
        <v>197.2</v>
      </c>
      <c r="C183" s="20" t="s">
        <v>20</v>
      </c>
      <c r="D183" s="20">
        <v>8</v>
      </c>
      <c r="E183" s="19" t="s">
        <v>19</v>
      </c>
      <c r="F183">
        <f t="shared" si="5"/>
        <v>200</v>
      </c>
      <c r="G183" s="22" t="s">
        <v>96</v>
      </c>
      <c r="I183">
        <v>0</v>
      </c>
    </row>
    <row r="184" spans="1:9" ht="25">
      <c r="A184" s="1">
        <v>42054</v>
      </c>
      <c r="B184">
        <v>221</v>
      </c>
      <c r="C184" s="20" t="s">
        <v>56</v>
      </c>
      <c r="D184" s="20">
        <v>8</v>
      </c>
      <c r="E184" s="19" t="s">
        <v>13</v>
      </c>
      <c r="F184">
        <f t="shared" si="5"/>
        <v>220</v>
      </c>
      <c r="G184" s="22" t="s">
        <v>97</v>
      </c>
      <c r="I184">
        <v>0</v>
      </c>
    </row>
    <row r="185" spans="1:9" ht="25">
      <c r="A185" s="1">
        <v>42055</v>
      </c>
      <c r="B185">
        <v>211.3</v>
      </c>
      <c r="C185" s="20" t="s">
        <v>12</v>
      </c>
      <c r="D185" s="20">
        <v>0</v>
      </c>
      <c r="E185" s="19" t="s">
        <v>13</v>
      </c>
      <c r="F185">
        <f t="shared" si="5"/>
        <v>210</v>
      </c>
      <c r="G185" s="22" t="s">
        <v>98</v>
      </c>
      <c r="I185">
        <v>0</v>
      </c>
    </row>
    <row r="186" spans="1:9" ht="25">
      <c r="A186" s="1">
        <v>42055</v>
      </c>
      <c r="B186">
        <v>269</v>
      </c>
      <c r="C186" s="20" t="s">
        <v>12</v>
      </c>
      <c r="D186" s="20">
        <v>8</v>
      </c>
      <c r="E186" s="19" t="s">
        <v>13</v>
      </c>
      <c r="F186">
        <f t="shared" si="5"/>
        <v>270</v>
      </c>
      <c r="G186" s="22" t="s">
        <v>99</v>
      </c>
      <c r="I186">
        <v>0</v>
      </c>
    </row>
    <row r="187" spans="1:9" ht="25">
      <c r="A187" s="1">
        <v>42055</v>
      </c>
      <c r="B187">
        <v>228</v>
      </c>
      <c r="C187" s="20" t="s">
        <v>20</v>
      </c>
      <c r="D187" s="20">
        <v>8</v>
      </c>
      <c r="E187" s="19" t="s">
        <v>19</v>
      </c>
      <c r="F187">
        <f t="shared" si="5"/>
        <v>230</v>
      </c>
      <c r="G187" s="22" t="s">
        <v>100</v>
      </c>
      <c r="I187">
        <v>0</v>
      </c>
    </row>
    <row r="188" spans="1:9" ht="25">
      <c r="A188" s="1">
        <v>42055</v>
      </c>
      <c r="B188">
        <v>250.8</v>
      </c>
      <c r="C188" s="20" t="s">
        <v>56</v>
      </c>
      <c r="D188" s="20">
        <v>8</v>
      </c>
      <c r="E188" s="19" t="s">
        <v>13</v>
      </c>
      <c r="F188">
        <f t="shared" si="5"/>
        <v>250</v>
      </c>
      <c r="G188" s="22" t="s">
        <v>101</v>
      </c>
      <c r="I188">
        <v>0</v>
      </c>
    </row>
    <row r="189" spans="1:9" ht="25">
      <c r="A189" s="1">
        <v>42055</v>
      </c>
      <c r="B189">
        <v>168.3</v>
      </c>
      <c r="C189" s="20" t="s">
        <v>12</v>
      </c>
      <c r="D189" s="20">
        <v>0</v>
      </c>
      <c r="E189" s="19" t="s">
        <v>13</v>
      </c>
      <c r="F189">
        <f t="shared" si="5"/>
        <v>170</v>
      </c>
      <c r="G189" s="22" t="s">
        <v>102</v>
      </c>
      <c r="I189">
        <v>0</v>
      </c>
    </row>
    <row r="190" spans="1:9" ht="25">
      <c r="A190" s="1">
        <v>42055</v>
      </c>
      <c r="B190">
        <v>152.80000000000001</v>
      </c>
      <c r="C190" s="20" t="s">
        <v>12</v>
      </c>
      <c r="D190" s="20">
        <v>8</v>
      </c>
      <c r="E190" s="19" t="s">
        <v>13</v>
      </c>
      <c r="F190">
        <f t="shared" si="5"/>
        <v>150</v>
      </c>
      <c r="G190" s="22" t="s">
        <v>103</v>
      </c>
      <c r="I190">
        <v>0</v>
      </c>
    </row>
    <row r="191" spans="1:9" ht="25">
      <c r="A191" s="1">
        <v>42055</v>
      </c>
      <c r="B191">
        <v>158.1</v>
      </c>
      <c r="C191" s="20" t="s">
        <v>20</v>
      </c>
      <c r="D191" s="20">
        <v>8</v>
      </c>
      <c r="E191" s="19" t="s">
        <v>19</v>
      </c>
      <c r="F191">
        <f t="shared" si="5"/>
        <v>160</v>
      </c>
      <c r="G191" s="22" t="s">
        <v>104</v>
      </c>
      <c r="I191">
        <v>0</v>
      </c>
    </row>
    <row r="192" spans="1:9" ht="25">
      <c r="A192" s="1">
        <v>42055</v>
      </c>
      <c r="B192">
        <v>175.8</v>
      </c>
      <c r="C192" s="20" t="s">
        <v>56</v>
      </c>
      <c r="D192" s="20">
        <v>8</v>
      </c>
      <c r="E192" s="19" t="s">
        <v>13</v>
      </c>
      <c r="F192">
        <f t="shared" si="5"/>
        <v>180</v>
      </c>
      <c r="G192" s="22" t="s">
        <v>105</v>
      </c>
      <c r="I192">
        <v>0</v>
      </c>
    </row>
    <row r="193" spans="1:9" ht="25">
      <c r="A193" s="1">
        <v>42056</v>
      </c>
      <c r="B193">
        <v>216.5</v>
      </c>
      <c r="C193" s="20" t="s">
        <v>12</v>
      </c>
      <c r="D193" s="20">
        <v>0</v>
      </c>
      <c r="E193" s="19" t="s">
        <v>13</v>
      </c>
      <c r="F193">
        <f t="shared" si="5"/>
        <v>220</v>
      </c>
      <c r="G193" s="22" t="s">
        <v>106</v>
      </c>
      <c r="I193">
        <v>0</v>
      </c>
    </row>
    <row r="194" spans="1:9" ht="25">
      <c r="A194" s="1">
        <v>42056</v>
      </c>
      <c r="B194">
        <v>216.5</v>
      </c>
      <c r="C194" s="20" t="s">
        <v>12</v>
      </c>
      <c r="D194" s="20">
        <v>8</v>
      </c>
      <c r="E194" s="19" t="s">
        <v>13</v>
      </c>
      <c r="F194">
        <f t="shared" si="5"/>
        <v>220</v>
      </c>
      <c r="G194" s="22" t="s">
        <v>106</v>
      </c>
      <c r="I194">
        <v>0</v>
      </c>
    </row>
    <row r="195" spans="1:9" ht="25">
      <c r="A195" s="1">
        <v>42056</v>
      </c>
      <c r="B195">
        <v>238.3</v>
      </c>
      <c r="C195" s="20" t="s">
        <v>20</v>
      </c>
      <c r="D195" s="20">
        <v>8</v>
      </c>
      <c r="E195" s="19" t="s">
        <v>19</v>
      </c>
      <c r="F195">
        <f t="shared" si="5"/>
        <v>240</v>
      </c>
      <c r="G195" s="22" t="s">
        <v>107</v>
      </c>
      <c r="I195">
        <v>0</v>
      </c>
    </row>
    <row r="196" spans="1:9" ht="25">
      <c r="A196" s="1">
        <v>42056</v>
      </c>
      <c r="B196">
        <v>256.7</v>
      </c>
      <c r="C196" s="20" t="s">
        <v>56</v>
      </c>
      <c r="D196" s="20">
        <v>8</v>
      </c>
      <c r="E196" s="19" t="s">
        <v>13</v>
      </c>
      <c r="F196">
        <f t="shared" si="5"/>
        <v>260</v>
      </c>
      <c r="G196" s="22" t="s">
        <v>108</v>
      </c>
      <c r="I196">
        <v>0</v>
      </c>
    </row>
    <row r="197" spans="1:9" ht="25">
      <c r="A197" s="1">
        <v>42056</v>
      </c>
      <c r="B197">
        <v>231.9</v>
      </c>
      <c r="C197" s="20" t="s">
        <v>12</v>
      </c>
      <c r="D197" s="20">
        <v>0</v>
      </c>
      <c r="E197" s="19" t="s">
        <v>13</v>
      </c>
      <c r="F197">
        <f t="shared" si="5"/>
        <v>230</v>
      </c>
      <c r="G197" s="22" t="s">
        <v>109</v>
      </c>
      <c r="I197">
        <v>0</v>
      </c>
    </row>
    <row r="198" spans="1:9" ht="25">
      <c r="A198" s="1">
        <v>42056</v>
      </c>
      <c r="B198">
        <v>231.9</v>
      </c>
      <c r="C198" s="20" t="s">
        <v>12</v>
      </c>
      <c r="D198" s="20">
        <v>8</v>
      </c>
      <c r="E198" s="19" t="s">
        <v>13</v>
      </c>
      <c r="F198">
        <f t="shared" si="5"/>
        <v>230</v>
      </c>
      <c r="G198" s="22" t="s">
        <v>109</v>
      </c>
      <c r="I198">
        <v>0</v>
      </c>
    </row>
    <row r="199" spans="1:9" ht="25">
      <c r="A199" s="1">
        <v>42056</v>
      </c>
      <c r="B199">
        <v>208.9</v>
      </c>
      <c r="C199" s="20" t="s">
        <v>20</v>
      </c>
      <c r="D199" s="20">
        <v>8</v>
      </c>
      <c r="E199" s="19" t="s">
        <v>19</v>
      </c>
      <c r="F199">
        <f t="shared" si="5"/>
        <v>210</v>
      </c>
      <c r="G199" s="22" t="s">
        <v>110</v>
      </c>
      <c r="I199">
        <v>0</v>
      </c>
    </row>
    <row r="200" spans="1:9" ht="25">
      <c r="A200" s="1">
        <v>42056</v>
      </c>
      <c r="B200">
        <v>231.9</v>
      </c>
      <c r="C200" s="20" t="s">
        <v>56</v>
      </c>
      <c r="D200" s="20">
        <v>8</v>
      </c>
      <c r="E200" s="19" t="s">
        <v>13</v>
      </c>
      <c r="F200">
        <f t="shared" si="5"/>
        <v>230</v>
      </c>
      <c r="G200" s="22" t="s">
        <v>109</v>
      </c>
      <c r="I200">
        <v>0</v>
      </c>
    </row>
    <row r="201" spans="1:9" ht="25">
      <c r="A201" s="1">
        <v>42057</v>
      </c>
      <c r="B201">
        <v>207.9</v>
      </c>
      <c r="C201" s="20" t="s">
        <v>12</v>
      </c>
      <c r="D201" s="20">
        <v>0</v>
      </c>
      <c r="E201" s="19" t="s">
        <v>13</v>
      </c>
      <c r="F201">
        <f t="shared" si="5"/>
        <v>210</v>
      </c>
      <c r="G201" s="22" t="s">
        <v>111</v>
      </c>
    </row>
    <row r="202" spans="1:9" ht="25">
      <c r="A202" s="1">
        <v>42057</v>
      </c>
      <c r="B202">
        <v>188.7</v>
      </c>
      <c r="C202" s="20" t="s">
        <v>12</v>
      </c>
      <c r="D202" s="20">
        <v>8</v>
      </c>
      <c r="E202" s="19" t="s">
        <v>13</v>
      </c>
      <c r="F202">
        <f t="shared" si="5"/>
        <v>190</v>
      </c>
      <c r="G202" s="22" t="s">
        <v>112</v>
      </c>
    </row>
    <row r="203" spans="1:9" ht="25">
      <c r="A203" s="1">
        <v>42057</v>
      </c>
      <c r="B203">
        <v>205.3</v>
      </c>
      <c r="C203" s="20" t="s">
        <v>20</v>
      </c>
      <c r="D203" s="20">
        <v>8</v>
      </c>
      <c r="E203" s="19" t="s">
        <v>19</v>
      </c>
      <c r="F203">
        <f t="shared" si="5"/>
        <v>210</v>
      </c>
      <c r="G203" s="22" t="s">
        <v>113</v>
      </c>
    </row>
    <row r="204" spans="1:9" ht="25">
      <c r="A204" s="1">
        <v>42057</v>
      </c>
      <c r="B204">
        <v>189</v>
      </c>
      <c r="C204" s="20" t="s">
        <v>56</v>
      </c>
      <c r="D204" s="20">
        <v>8</v>
      </c>
      <c r="E204" s="19" t="s">
        <v>13</v>
      </c>
      <c r="F204">
        <f t="shared" si="5"/>
        <v>190</v>
      </c>
      <c r="G204" s="22" t="s">
        <v>114</v>
      </c>
    </row>
    <row r="205" spans="1:9" ht="25">
      <c r="A205" s="1">
        <v>42058</v>
      </c>
      <c r="B205">
        <v>200.7</v>
      </c>
      <c r="C205" s="20" t="s">
        <v>12</v>
      </c>
      <c r="D205" s="20">
        <v>0</v>
      </c>
      <c r="E205" s="19" t="s">
        <v>13</v>
      </c>
      <c r="F205">
        <f t="shared" si="5"/>
        <v>200</v>
      </c>
      <c r="G205" s="22" t="s">
        <v>115</v>
      </c>
    </row>
    <row r="206" spans="1:9" ht="25">
      <c r="A206" s="1">
        <v>42058</v>
      </c>
      <c r="B206">
        <v>200.7</v>
      </c>
      <c r="C206" s="20" t="s">
        <v>12</v>
      </c>
      <c r="D206" s="20">
        <v>8</v>
      </c>
      <c r="E206" s="19" t="s">
        <v>13</v>
      </c>
      <c r="F206">
        <f t="shared" si="5"/>
        <v>200</v>
      </c>
      <c r="G206" s="22" t="s">
        <v>115</v>
      </c>
    </row>
    <row r="207" spans="1:9" ht="25">
      <c r="A207" s="1">
        <v>42058</v>
      </c>
      <c r="B207">
        <v>158.1</v>
      </c>
      <c r="C207" s="20" t="s">
        <v>20</v>
      </c>
      <c r="D207" s="20">
        <v>8</v>
      </c>
      <c r="E207" s="19" t="s">
        <v>19</v>
      </c>
      <c r="F207">
        <f t="shared" si="5"/>
        <v>160</v>
      </c>
      <c r="G207" s="22" t="s">
        <v>116</v>
      </c>
    </row>
    <row r="208" spans="1:9" ht="25">
      <c r="A208" s="1">
        <v>42058</v>
      </c>
      <c r="B208">
        <v>212.7</v>
      </c>
      <c r="C208" s="20" t="s">
        <v>56</v>
      </c>
      <c r="D208" s="20">
        <v>8</v>
      </c>
      <c r="E208" s="19" t="s">
        <v>13</v>
      </c>
      <c r="F208">
        <f t="shared" si="5"/>
        <v>210</v>
      </c>
      <c r="G208" s="22" t="s">
        <v>117</v>
      </c>
    </row>
    <row r="209" spans="1:7" ht="25">
      <c r="A209" s="1">
        <v>42059</v>
      </c>
      <c r="B209">
        <v>218.3</v>
      </c>
      <c r="C209" s="20" t="s">
        <v>12</v>
      </c>
      <c r="D209" s="20">
        <v>0</v>
      </c>
      <c r="E209" s="19" t="s">
        <v>13</v>
      </c>
      <c r="F209">
        <f t="shared" si="5"/>
        <v>220</v>
      </c>
      <c r="G209" s="22" t="s">
        <v>118</v>
      </c>
    </row>
    <row r="210" spans="1:7" ht="25">
      <c r="A210" s="1">
        <v>42059</v>
      </c>
      <c r="B210">
        <v>231.9</v>
      </c>
      <c r="C210" s="20" t="s">
        <v>12</v>
      </c>
      <c r="D210" s="20">
        <v>8</v>
      </c>
      <c r="E210" s="19" t="s">
        <v>13</v>
      </c>
      <c r="F210">
        <f t="shared" si="5"/>
        <v>230</v>
      </c>
      <c r="G210" s="22" t="s">
        <v>119</v>
      </c>
    </row>
    <row r="211" spans="1:7" ht="25">
      <c r="A211" s="1">
        <v>42059</v>
      </c>
      <c r="B211">
        <v>246.3</v>
      </c>
      <c r="C211" s="20" t="s">
        <v>20</v>
      </c>
      <c r="D211" s="20">
        <v>8</v>
      </c>
      <c r="E211" s="19" t="s">
        <v>19</v>
      </c>
      <c r="F211">
        <f t="shared" si="5"/>
        <v>250</v>
      </c>
      <c r="G211" s="22" t="s">
        <v>120</v>
      </c>
    </row>
    <row r="212" spans="1:7" ht="25">
      <c r="A212" s="1">
        <v>42059</v>
      </c>
      <c r="B212">
        <v>218.5</v>
      </c>
      <c r="C212" s="20" t="s">
        <v>56</v>
      </c>
      <c r="D212" s="20">
        <v>8</v>
      </c>
      <c r="E212" s="19" t="s">
        <v>13</v>
      </c>
      <c r="F212">
        <f t="shared" si="5"/>
        <v>220</v>
      </c>
      <c r="G212" s="22" t="s">
        <v>121</v>
      </c>
    </row>
    <row r="213" spans="1:7" ht="25">
      <c r="A213" s="1">
        <v>42060</v>
      </c>
      <c r="B213">
        <v>221</v>
      </c>
      <c r="C213" s="20" t="s">
        <v>12</v>
      </c>
      <c r="D213" s="20">
        <v>0</v>
      </c>
      <c r="E213" s="19" t="s">
        <v>13</v>
      </c>
      <c r="F213">
        <f t="shared" si="5"/>
        <v>220</v>
      </c>
      <c r="G213" s="22" t="s">
        <v>122</v>
      </c>
    </row>
    <row r="214" spans="1:7" ht="25">
      <c r="A214" s="1">
        <v>42060</v>
      </c>
      <c r="B214">
        <v>188</v>
      </c>
      <c r="C214" s="20" t="s">
        <v>12</v>
      </c>
      <c r="D214" s="20">
        <v>8</v>
      </c>
      <c r="E214" s="19" t="s">
        <v>13</v>
      </c>
      <c r="F214">
        <f t="shared" si="5"/>
        <v>190</v>
      </c>
      <c r="G214" s="22" t="s">
        <v>123</v>
      </c>
    </row>
    <row r="215" spans="1:7" ht="25">
      <c r="A215" s="1">
        <v>42060</v>
      </c>
      <c r="B215">
        <v>209.1</v>
      </c>
      <c r="C215" s="20" t="s">
        <v>20</v>
      </c>
      <c r="D215" s="20">
        <v>8</v>
      </c>
      <c r="E215" s="19" t="s">
        <v>19</v>
      </c>
      <c r="F215">
        <f t="shared" si="5"/>
        <v>210</v>
      </c>
      <c r="G215" s="22" t="s">
        <v>124</v>
      </c>
    </row>
    <row r="216" spans="1:7" ht="25">
      <c r="A216" s="1">
        <v>42060</v>
      </c>
      <c r="B216">
        <v>192</v>
      </c>
      <c r="C216" s="20" t="s">
        <v>56</v>
      </c>
      <c r="D216" s="20">
        <v>8</v>
      </c>
      <c r="E216" s="19" t="s">
        <v>13</v>
      </c>
      <c r="F216">
        <f t="shared" si="5"/>
        <v>190</v>
      </c>
      <c r="G216" s="22" t="s">
        <v>125</v>
      </c>
    </row>
    <row r="217" spans="1:7" ht="25">
      <c r="A217" s="1">
        <v>42062</v>
      </c>
      <c r="B217">
        <v>171.4</v>
      </c>
      <c r="C217" s="20" t="s">
        <v>12</v>
      </c>
      <c r="D217" s="20">
        <v>0</v>
      </c>
      <c r="E217" s="19" t="s">
        <v>13</v>
      </c>
      <c r="F217">
        <f t="shared" si="5"/>
        <v>170</v>
      </c>
      <c r="G217" s="22" t="s">
        <v>126</v>
      </c>
    </row>
    <row r="218" spans="1:7" ht="25">
      <c r="A218" s="1">
        <v>42062</v>
      </c>
      <c r="B218">
        <v>171.4</v>
      </c>
      <c r="C218" s="20" t="s">
        <v>12</v>
      </c>
      <c r="D218" s="20">
        <v>8</v>
      </c>
      <c r="E218" s="19" t="s">
        <v>13</v>
      </c>
      <c r="F218">
        <f t="shared" si="5"/>
        <v>170</v>
      </c>
      <c r="G218" s="22" t="s">
        <v>126</v>
      </c>
    </row>
    <row r="219" spans="1:7" ht="25">
      <c r="A219" s="1">
        <v>42062</v>
      </c>
      <c r="B219">
        <v>174.2</v>
      </c>
      <c r="C219" s="20" t="s">
        <v>20</v>
      </c>
      <c r="D219" s="20">
        <v>8</v>
      </c>
      <c r="E219" s="19" t="s">
        <v>19</v>
      </c>
      <c r="F219">
        <f t="shared" si="5"/>
        <v>170</v>
      </c>
      <c r="G219" s="22" t="s">
        <v>127</v>
      </c>
    </row>
    <row r="220" spans="1:7" ht="25">
      <c r="A220" s="1">
        <v>42062</v>
      </c>
      <c r="B220">
        <v>184.7</v>
      </c>
      <c r="C220" s="20" t="s">
        <v>56</v>
      </c>
      <c r="D220" s="20">
        <v>8</v>
      </c>
      <c r="E220" s="19" t="s">
        <v>13</v>
      </c>
      <c r="F220">
        <f t="shared" si="5"/>
        <v>180</v>
      </c>
      <c r="G220" s="22" t="s">
        <v>128</v>
      </c>
    </row>
    <row r="221" spans="1:7" ht="25">
      <c r="A221" s="1">
        <v>42063</v>
      </c>
      <c r="B221">
        <v>228.1</v>
      </c>
      <c r="C221" s="20" t="s">
        <v>12</v>
      </c>
      <c r="D221" s="20">
        <v>0</v>
      </c>
      <c r="E221" s="19" t="s">
        <v>13</v>
      </c>
      <c r="F221">
        <f t="shared" si="5"/>
        <v>230</v>
      </c>
      <c r="G221" s="22" t="s">
        <v>129</v>
      </c>
    </row>
    <row r="222" spans="1:7" ht="25">
      <c r="A222" s="1">
        <v>42063</v>
      </c>
      <c r="B222">
        <v>206.5</v>
      </c>
      <c r="C222" s="20" t="s">
        <v>12</v>
      </c>
      <c r="D222" s="20">
        <v>8</v>
      </c>
      <c r="E222" s="19" t="s">
        <v>13</v>
      </c>
      <c r="F222">
        <f t="shared" si="5"/>
        <v>210</v>
      </c>
      <c r="G222" s="22" t="s">
        <v>130</v>
      </c>
    </row>
    <row r="223" spans="1:7" ht="25">
      <c r="A223" s="1">
        <v>42063</v>
      </c>
      <c r="B223">
        <v>221.9</v>
      </c>
      <c r="C223" s="20" t="s">
        <v>20</v>
      </c>
      <c r="D223" s="20">
        <v>8</v>
      </c>
      <c r="E223" s="19" t="s">
        <v>19</v>
      </c>
      <c r="F223">
        <f t="shared" si="5"/>
        <v>220</v>
      </c>
      <c r="G223" s="22" t="s">
        <v>131</v>
      </c>
    </row>
    <row r="224" spans="1:7" ht="25">
      <c r="A224" s="1">
        <v>42063</v>
      </c>
      <c r="B224">
        <v>221.9</v>
      </c>
      <c r="C224" s="20" t="s">
        <v>56</v>
      </c>
      <c r="D224" s="20">
        <v>8</v>
      </c>
      <c r="E224" s="19" t="s">
        <v>13</v>
      </c>
      <c r="F224">
        <f t="shared" si="5"/>
        <v>220</v>
      </c>
      <c r="G224" s="22" t="s">
        <v>131</v>
      </c>
    </row>
    <row r="225" spans="1:7" ht="25">
      <c r="A225" s="1">
        <v>42064</v>
      </c>
      <c r="B225">
        <v>235.7</v>
      </c>
      <c r="C225" s="20" t="s">
        <v>12</v>
      </c>
      <c r="D225" s="20">
        <v>0</v>
      </c>
      <c r="E225" s="19" t="s">
        <v>13</v>
      </c>
      <c r="F225">
        <f t="shared" si="5"/>
        <v>240</v>
      </c>
      <c r="G225" s="22" t="s">
        <v>132</v>
      </c>
    </row>
    <row r="226" spans="1:7" ht="25">
      <c r="A226" s="1">
        <v>42064</v>
      </c>
      <c r="B226">
        <v>205.8</v>
      </c>
      <c r="C226" s="20" t="s">
        <v>12</v>
      </c>
      <c r="D226" s="20">
        <v>8</v>
      </c>
      <c r="E226" s="19" t="s">
        <v>13</v>
      </c>
      <c r="F226">
        <f t="shared" si="5"/>
        <v>210</v>
      </c>
      <c r="G226" s="22" t="s">
        <v>133</v>
      </c>
    </row>
    <row r="227" spans="1:7" ht="25">
      <c r="A227" s="1">
        <v>42064</v>
      </c>
      <c r="B227">
        <v>257.2</v>
      </c>
      <c r="C227" s="20" t="s">
        <v>20</v>
      </c>
      <c r="D227" s="20">
        <v>8</v>
      </c>
      <c r="E227" s="19" t="s">
        <v>19</v>
      </c>
      <c r="F227">
        <f t="shared" si="5"/>
        <v>260</v>
      </c>
      <c r="G227" s="22" t="s">
        <v>134</v>
      </c>
    </row>
    <row r="228" spans="1:7" ht="25">
      <c r="A228" s="1">
        <v>42064</v>
      </c>
      <c r="B228">
        <v>206</v>
      </c>
      <c r="C228" s="20" t="s">
        <v>56</v>
      </c>
      <c r="D228" s="20">
        <v>8</v>
      </c>
      <c r="E228" s="19" t="s">
        <v>13</v>
      </c>
      <c r="F228">
        <f t="shared" si="5"/>
        <v>210</v>
      </c>
      <c r="G228" s="22" t="s">
        <v>135</v>
      </c>
    </row>
    <row r="229" spans="1:7" ht="25">
      <c r="A229" s="1">
        <v>42064</v>
      </c>
      <c r="B229">
        <v>202.2</v>
      </c>
      <c r="C229" s="20" t="s">
        <v>12</v>
      </c>
      <c r="D229" s="20">
        <v>0</v>
      </c>
      <c r="E229" s="19" t="s">
        <v>13</v>
      </c>
      <c r="F229">
        <f t="shared" si="5"/>
        <v>200</v>
      </c>
      <c r="G229" s="22" t="s">
        <v>136</v>
      </c>
    </row>
    <row r="230" spans="1:7" ht="25">
      <c r="A230" s="1">
        <v>42064</v>
      </c>
      <c r="B230">
        <v>202.2</v>
      </c>
      <c r="C230" s="20" t="s">
        <v>12</v>
      </c>
      <c r="D230" s="20">
        <v>8</v>
      </c>
      <c r="E230" s="19" t="s">
        <v>13</v>
      </c>
      <c r="F230">
        <f t="shared" si="5"/>
        <v>200</v>
      </c>
      <c r="G230" s="22" t="s">
        <v>136</v>
      </c>
    </row>
    <row r="231" spans="1:7" ht="25">
      <c r="A231" s="1">
        <v>42064</v>
      </c>
      <c r="B231">
        <v>185.9</v>
      </c>
      <c r="C231" s="20" t="s">
        <v>20</v>
      </c>
      <c r="D231" s="20">
        <v>8</v>
      </c>
      <c r="E231" s="19" t="s">
        <v>19</v>
      </c>
      <c r="F231">
        <f t="shared" si="5"/>
        <v>190</v>
      </c>
      <c r="G231" s="22" t="s">
        <v>137</v>
      </c>
    </row>
    <row r="232" spans="1:7" ht="25">
      <c r="A232" s="1">
        <v>42064</v>
      </c>
      <c r="B232">
        <v>202.2</v>
      </c>
      <c r="C232" s="20" t="s">
        <v>56</v>
      </c>
      <c r="D232" s="20">
        <v>8</v>
      </c>
      <c r="E232" s="19" t="s">
        <v>13</v>
      </c>
      <c r="F232">
        <f t="shared" si="5"/>
        <v>200</v>
      </c>
      <c r="G232" s="22" t="s">
        <v>136</v>
      </c>
    </row>
    <row r="233" spans="1:7" ht="25">
      <c r="A233" s="23">
        <v>42065</v>
      </c>
      <c r="B233">
        <v>202.1</v>
      </c>
      <c r="C233" s="20" t="s">
        <v>12</v>
      </c>
      <c r="D233" s="20">
        <v>0</v>
      </c>
      <c r="E233" s="19" t="s">
        <v>13</v>
      </c>
      <c r="F233">
        <f t="shared" si="5"/>
        <v>200</v>
      </c>
      <c r="G233" s="22" t="s">
        <v>138</v>
      </c>
    </row>
    <row r="234" spans="1:7" ht="25">
      <c r="A234" s="1">
        <v>42065</v>
      </c>
      <c r="B234">
        <v>202.1</v>
      </c>
      <c r="C234" s="20" t="s">
        <v>12</v>
      </c>
      <c r="D234" s="20">
        <v>8</v>
      </c>
      <c r="E234" s="19" t="s">
        <v>13</v>
      </c>
      <c r="F234">
        <f t="shared" ref="F234:F291" si="6">ROUND(B234/10,0)*10</f>
        <v>200</v>
      </c>
      <c r="G234" s="22" t="s">
        <v>138</v>
      </c>
    </row>
    <row r="235" spans="1:7" ht="25">
      <c r="A235" s="1">
        <v>42065</v>
      </c>
      <c r="B235">
        <v>197.4</v>
      </c>
      <c r="C235" s="20" t="s">
        <v>20</v>
      </c>
      <c r="D235" s="20">
        <v>8</v>
      </c>
      <c r="E235" s="19" t="s">
        <v>19</v>
      </c>
      <c r="F235">
        <f t="shared" si="6"/>
        <v>200</v>
      </c>
      <c r="G235" s="22" t="s">
        <v>139</v>
      </c>
    </row>
    <row r="236" spans="1:7" ht="25">
      <c r="A236" s="1">
        <v>42065</v>
      </c>
      <c r="B236">
        <v>202.1</v>
      </c>
      <c r="C236" s="20" t="s">
        <v>56</v>
      </c>
      <c r="D236" s="20">
        <v>8</v>
      </c>
      <c r="E236" s="19" t="s">
        <v>13</v>
      </c>
      <c r="F236">
        <f t="shared" si="6"/>
        <v>200</v>
      </c>
      <c r="G236" s="22" t="s">
        <v>138</v>
      </c>
    </row>
    <row r="237" spans="1:7" ht="25">
      <c r="A237" s="1">
        <v>42066</v>
      </c>
      <c r="B237">
        <v>182.4</v>
      </c>
      <c r="C237" s="20" t="s">
        <v>12</v>
      </c>
      <c r="D237" s="20">
        <v>0</v>
      </c>
      <c r="E237" s="19" t="s">
        <v>13</v>
      </c>
      <c r="F237">
        <f t="shared" si="6"/>
        <v>180</v>
      </c>
      <c r="G237" s="22" t="s">
        <v>140</v>
      </c>
    </row>
    <row r="238" spans="1:7" ht="25">
      <c r="A238" s="1">
        <v>42066</v>
      </c>
      <c r="B238">
        <v>216.7</v>
      </c>
      <c r="C238" s="20" t="s">
        <v>12</v>
      </c>
      <c r="D238" s="20">
        <v>8</v>
      </c>
      <c r="E238" s="19" t="s">
        <v>13</v>
      </c>
      <c r="F238">
        <f t="shared" si="6"/>
        <v>220</v>
      </c>
      <c r="G238" s="22" t="s">
        <v>141</v>
      </c>
    </row>
    <row r="239" spans="1:7" ht="25">
      <c r="A239" s="1">
        <v>42066</v>
      </c>
      <c r="B239">
        <v>206.5</v>
      </c>
      <c r="C239" s="20" t="s">
        <v>20</v>
      </c>
      <c r="D239" s="20">
        <v>8</v>
      </c>
      <c r="E239" s="19" t="s">
        <v>19</v>
      </c>
      <c r="F239">
        <f t="shared" si="6"/>
        <v>210</v>
      </c>
      <c r="G239" s="22" t="s">
        <v>142</v>
      </c>
    </row>
    <row r="240" spans="1:7" ht="25">
      <c r="A240" s="1">
        <v>42066</v>
      </c>
      <c r="B240">
        <v>225</v>
      </c>
      <c r="C240" s="20" t="s">
        <v>56</v>
      </c>
      <c r="D240" s="20">
        <v>8</v>
      </c>
      <c r="E240" s="19" t="s">
        <v>13</v>
      </c>
      <c r="F240">
        <f t="shared" si="6"/>
        <v>230</v>
      </c>
      <c r="G240" s="22" t="s">
        <v>143</v>
      </c>
    </row>
    <row r="241" spans="1:7" ht="25">
      <c r="A241" s="1">
        <v>42067</v>
      </c>
      <c r="B241">
        <v>245.1</v>
      </c>
      <c r="C241" s="20" t="s">
        <v>12</v>
      </c>
      <c r="D241" s="20">
        <v>0</v>
      </c>
      <c r="E241" s="19" t="s">
        <v>13</v>
      </c>
      <c r="F241">
        <f t="shared" si="6"/>
        <v>250</v>
      </c>
      <c r="G241" s="22" t="s">
        <v>144</v>
      </c>
    </row>
    <row r="242" spans="1:7" ht="25">
      <c r="A242" s="1">
        <v>42067</v>
      </c>
      <c r="B242">
        <v>274.89999999999998</v>
      </c>
      <c r="C242" s="20" t="s">
        <v>12</v>
      </c>
      <c r="D242" s="20">
        <v>8</v>
      </c>
      <c r="E242" s="19" t="s">
        <v>13</v>
      </c>
      <c r="F242">
        <f t="shared" si="6"/>
        <v>270</v>
      </c>
      <c r="G242" s="22" t="s">
        <v>145</v>
      </c>
    </row>
    <row r="243" spans="1:7" ht="25">
      <c r="A243" s="1">
        <v>42067</v>
      </c>
      <c r="B243">
        <v>273.89999999999998</v>
      </c>
      <c r="C243" s="20" t="s">
        <v>20</v>
      </c>
      <c r="D243" s="20">
        <v>8</v>
      </c>
      <c r="E243" s="19" t="s">
        <v>19</v>
      </c>
      <c r="F243">
        <f t="shared" si="6"/>
        <v>270</v>
      </c>
      <c r="G243" s="22" t="s">
        <v>146</v>
      </c>
    </row>
    <row r="244" spans="1:7" ht="25">
      <c r="A244" s="1">
        <v>42067</v>
      </c>
      <c r="B244">
        <v>247.8</v>
      </c>
      <c r="C244" s="20" t="s">
        <v>56</v>
      </c>
      <c r="D244" s="20">
        <v>8</v>
      </c>
      <c r="E244" s="19" t="s">
        <v>13</v>
      </c>
      <c r="F244">
        <f t="shared" si="6"/>
        <v>250</v>
      </c>
      <c r="G244" s="22" t="s">
        <v>147</v>
      </c>
    </row>
    <row r="245" spans="1:7" ht="25">
      <c r="A245" s="1">
        <v>42068</v>
      </c>
      <c r="B245">
        <v>207.9</v>
      </c>
      <c r="C245" s="20" t="s">
        <v>12</v>
      </c>
      <c r="D245" s="20">
        <v>0</v>
      </c>
      <c r="E245" s="19" t="s">
        <v>13</v>
      </c>
      <c r="F245">
        <f t="shared" si="6"/>
        <v>210</v>
      </c>
      <c r="G245" s="22" t="s">
        <v>148</v>
      </c>
    </row>
    <row r="246" spans="1:7" ht="25">
      <c r="A246" s="1">
        <v>42068</v>
      </c>
      <c r="B246">
        <v>234.1</v>
      </c>
      <c r="C246" s="20" t="s">
        <v>12</v>
      </c>
      <c r="D246" s="20">
        <v>8</v>
      </c>
      <c r="E246" s="19" t="s">
        <v>13</v>
      </c>
      <c r="F246">
        <f t="shared" si="6"/>
        <v>230</v>
      </c>
      <c r="G246" s="22" t="s">
        <v>149</v>
      </c>
    </row>
    <row r="247" spans="1:7" ht="25">
      <c r="A247" s="1">
        <v>42068</v>
      </c>
      <c r="B247">
        <v>218.9</v>
      </c>
      <c r="C247" s="20" t="s">
        <v>20</v>
      </c>
      <c r="D247" s="20">
        <v>8</v>
      </c>
      <c r="E247" s="19" t="s">
        <v>19</v>
      </c>
      <c r="F247">
        <f t="shared" si="6"/>
        <v>220</v>
      </c>
      <c r="G247" s="22" t="s">
        <v>150</v>
      </c>
    </row>
    <row r="248" spans="1:7" ht="25">
      <c r="A248" s="1">
        <v>42068</v>
      </c>
      <c r="B248">
        <v>219.1</v>
      </c>
      <c r="C248" s="20" t="s">
        <v>56</v>
      </c>
      <c r="D248" s="20">
        <v>8</v>
      </c>
      <c r="E248" s="19" t="s">
        <v>13</v>
      </c>
      <c r="F248">
        <f t="shared" si="6"/>
        <v>220</v>
      </c>
      <c r="G248" s="22" t="s">
        <v>151</v>
      </c>
    </row>
    <row r="249" spans="1:7" ht="25">
      <c r="A249" s="1">
        <v>42070</v>
      </c>
      <c r="B249">
        <v>256</v>
      </c>
      <c r="C249" s="20" t="s">
        <v>12</v>
      </c>
      <c r="D249" s="20">
        <v>0</v>
      </c>
      <c r="E249" s="19" t="s">
        <v>13</v>
      </c>
      <c r="F249">
        <f t="shared" si="6"/>
        <v>260</v>
      </c>
      <c r="G249" s="22" t="s">
        <v>152</v>
      </c>
    </row>
    <row r="250" spans="1:7" ht="25">
      <c r="A250" s="1">
        <v>42070</v>
      </c>
      <c r="B250">
        <v>271.2</v>
      </c>
      <c r="C250" s="20" t="s">
        <v>12</v>
      </c>
      <c r="D250" s="20">
        <v>8</v>
      </c>
      <c r="E250" s="19" t="s">
        <v>13</v>
      </c>
      <c r="F250">
        <f t="shared" si="6"/>
        <v>270</v>
      </c>
      <c r="G250" s="22" t="s">
        <v>153</v>
      </c>
    </row>
    <row r="251" spans="1:7" ht="25">
      <c r="A251" s="1">
        <v>42070</v>
      </c>
      <c r="B251">
        <v>273.39999999999998</v>
      </c>
      <c r="C251" s="20" t="s">
        <v>20</v>
      </c>
      <c r="D251" s="20">
        <v>8</v>
      </c>
      <c r="E251" s="19" t="s">
        <v>19</v>
      </c>
      <c r="F251">
        <f t="shared" si="6"/>
        <v>270</v>
      </c>
      <c r="G251" s="22" t="s">
        <v>155</v>
      </c>
    </row>
    <row r="252" spans="1:7" ht="25">
      <c r="A252" s="1">
        <v>42070</v>
      </c>
      <c r="B252">
        <v>302.3</v>
      </c>
      <c r="C252" s="20" t="s">
        <v>56</v>
      </c>
      <c r="D252" s="20">
        <v>8</v>
      </c>
      <c r="E252" s="19" t="s">
        <v>13</v>
      </c>
      <c r="F252">
        <f t="shared" si="6"/>
        <v>300</v>
      </c>
      <c r="G252" s="22" t="s">
        <v>154</v>
      </c>
    </row>
    <row r="253" spans="1:7" ht="25">
      <c r="A253" s="1">
        <v>42070</v>
      </c>
      <c r="B253">
        <v>274.3</v>
      </c>
      <c r="C253" s="20" t="s">
        <v>12</v>
      </c>
      <c r="D253" s="20">
        <v>0</v>
      </c>
      <c r="E253" s="19" t="s">
        <v>13</v>
      </c>
      <c r="F253">
        <f t="shared" si="6"/>
        <v>270</v>
      </c>
      <c r="G253" s="22" t="s">
        <v>156</v>
      </c>
    </row>
    <row r="254" spans="1:7" ht="25">
      <c r="A254" s="1">
        <v>42070</v>
      </c>
      <c r="B254">
        <v>263.60000000000002</v>
      </c>
      <c r="C254" s="20" t="s">
        <v>12</v>
      </c>
      <c r="D254" s="20">
        <v>8</v>
      </c>
      <c r="E254" s="19" t="s">
        <v>13</v>
      </c>
      <c r="F254">
        <f t="shared" si="6"/>
        <v>260</v>
      </c>
      <c r="G254" s="22" t="s">
        <v>157</v>
      </c>
    </row>
    <row r="255" spans="1:7" ht="25">
      <c r="A255" s="1">
        <v>42070</v>
      </c>
      <c r="B255">
        <v>265.3</v>
      </c>
      <c r="C255" s="20" t="s">
        <v>20</v>
      </c>
      <c r="D255" s="20">
        <v>8</v>
      </c>
      <c r="E255" s="19" t="s">
        <v>19</v>
      </c>
      <c r="F255">
        <f t="shared" si="6"/>
        <v>270</v>
      </c>
      <c r="G255" s="22" t="s">
        <v>158</v>
      </c>
    </row>
    <row r="256" spans="1:7" ht="25">
      <c r="A256" s="1">
        <v>42070</v>
      </c>
      <c r="B256">
        <v>274.3</v>
      </c>
      <c r="C256" s="20" t="s">
        <v>56</v>
      </c>
      <c r="D256" s="20">
        <v>8</v>
      </c>
      <c r="E256" s="19" t="s">
        <v>13</v>
      </c>
      <c r="F256">
        <f t="shared" si="6"/>
        <v>270</v>
      </c>
      <c r="G256" s="22" t="s">
        <v>156</v>
      </c>
    </row>
    <row r="257" spans="1:7" ht="25">
      <c r="A257" s="1">
        <v>42071</v>
      </c>
      <c r="B257">
        <v>217.1</v>
      </c>
      <c r="C257" s="20" t="s">
        <v>12</v>
      </c>
      <c r="D257" s="20">
        <v>0</v>
      </c>
      <c r="E257" s="19" t="s">
        <v>13</v>
      </c>
      <c r="F257">
        <f t="shared" si="6"/>
        <v>220</v>
      </c>
      <c r="G257" s="22" t="s">
        <v>159</v>
      </c>
    </row>
    <row r="258" spans="1:7" ht="25">
      <c r="A258" s="1">
        <v>42071</v>
      </c>
      <c r="B258">
        <v>196</v>
      </c>
      <c r="C258" s="20" t="s">
        <v>12</v>
      </c>
      <c r="D258" s="20">
        <v>8</v>
      </c>
      <c r="E258" s="19" t="s">
        <v>13</v>
      </c>
      <c r="F258">
        <f t="shared" si="6"/>
        <v>200</v>
      </c>
      <c r="G258" s="22" t="s">
        <v>160</v>
      </c>
    </row>
    <row r="259" spans="1:7" ht="25">
      <c r="A259" s="1">
        <v>42071</v>
      </c>
      <c r="B259">
        <v>214</v>
      </c>
      <c r="C259" s="20" t="s">
        <v>20</v>
      </c>
      <c r="D259" s="20">
        <v>8</v>
      </c>
      <c r="E259" s="19" t="s">
        <v>19</v>
      </c>
      <c r="F259">
        <f t="shared" si="6"/>
        <v>210</v>
      </c>
      <c r="G259" s="22" t="s">
        <v>161</v>
      </c>
    </row>
    <row r="260" spans="1:7" ht="25">
      <c r="A260" s="1">
        <v>42071</v>
      </c>
      <c r="B260">
        <v>201.4</v>
      </c>
      <c r="C260" s="20" t="s">
        <v>56</v>
      </c>
      <c r="D260" s="20">
        <v>8</v>
      </c>
      <c r="E260" s="19" t="s">
        <v>13</v>
      </c>
      <c r="F260">
        <f t="shared" si="6"/>
        <v>200</v>
      </c>
      <c r="G260" s="22" t="s">
        <v>162</v>
      </c>
    </row>
    <row r="261" spans="1:7" ht="25">
      <c r="A261" s="1">
        <v>42073</v>
      </c>
      <c r="B261">
        <v>237.2</v>
      </c>
      <c r="C261" s="20" t="s">
        <v>12</v>
      </c>
      <c r="D261" s="20">
        <v>0</v>
      </c>
      <c r="E261" s="19" t="s">
        <v>13</v>
      </c>
      <c r="F261">
        <f t="shared" si="6"/>
        <v>240</v>
      </c>
      <c r="G261" s="22" t="s">
        <v>163</v>
      </c>
    </row>
    <row r="262" spans="1:7" ht="25">
      <c r="A262" s="1">
        <v>42073</v>
      </c>
      <c r="B262">
        <v>237.2</v>
      </c>
      <c r="C262" s="20" t="s">
        <v>12</v>
      </c>
      <c r="D262" s="20">
        <v>8</v>
      </c>
      <c r="E262" s="19" t="s">
        <v>13</v>
      </c>
      <c r="F262">
        <f t="shared" si="6"/>
        <v>240</v>
      </c>
      <c r="G262" s="22" t="s">
        <v>163</v>
      </c>
    </row>
    <row r="263" spans="1:7" ht="25">
      <c r="A263" s="1">
        <v>42073</v>
      </c>
      <c r="B263">
        <v>216.8</v>
      </c>
      <c r="C263" s="20" t="s">
        <v>20</v>
      </c>
      <c r="D263" s="20">
        <v>8</v>
      </c>
      <c r="E263" s="19" t="s">
        <v>19</v>
      </c>
      <c r="F263">
        <f t="shared" si="6"/>
        <v>220</v>
      </c>
      <c r="G263" s="22" t="s">
        <v>164</v>
      </c>
    </row>
    <row r="264" spans="1:7" ht="25">
      <c r="A264" s="1">
        <v>42073</v>
      </c>
      <c r="B264">
        <v>237.2</v>
      </c>
      <c r="C264" s="20" t="s">
        <v>56</v>
      </c>
      <c r="D264" s="20">
        <v>8</v>
      </c>
      <c r="E264" s="19" t="s">
        <v>13</v>
      </c>
      <c r="F264">
        <f t="shared" si="6"/>
        <v>240</v>
      </c>
      <c r="G264" s="22" t="s">
        <v>163</v>
      </c>
    </row>
    <row r="265" spans="1:7" ht="25">
      <c r="A265" s="1">
        <v>42074</v>
      </c>
      <c r="B265">
        <v>214.4</v>
      </c>
      <c r="C265" s="20" t="s">
        <v>12</v>
      </c>
      <c r="D265" s="20">
        <v>0</v>
      </c>
      <c r="E265" s="19" t="s">
        <v>13</v>
      </c>
      <c r="F265">
        <f t="shared" si="6"/>
        <v>210</v>
      </c>
      <c r="G265" s="22" t="s">
        <v>165</v>
      </c>
    </row>
    <row r="266" spans="1:7" ht="25">
      <c r="A266" s="1">
        <v>42074</v>
      </c>
      <c r="B266">
        <v>225.9</v>
      </c>
      <c r="C266" s="20" t="s">
        <v>12</v>
      </c>
      <c r="D266" s="20">
        <v>8</v>
      </c>
      <c r="E266" s="19" t="s">
        <v>13</v>
      </c>
      <c r="F266">
        <f t="shared" si="6"/>
        <v>230</v>
      </c>
      <c r="G266" s="22" t="s">
        <v>166</v>
      </c>
    </row>
    <row r="267" spans="1:7" ht="25">
      <c r="A267" s="1">
        <v>42074</v>
      </c>
      <c r="B267">
        <v>234.2</v>
      </c>
      <c r="C267" s="20" t="s">
        <v>20</v>
      </c>
      <c r="D267" s="20">
        <v>8</v>
      </c>
      <c r="E267" s="19" t="s">
        <v>19</v>
      </c>
      <c r="F267">
        <f t="shared" si="6"/>
        <v>230</v>
      </c>
      <c r="G267" s="22" t="s">
        <v>167</v>
      </c>
    </row>
    <row r="268" spans="1:7" ht="25">
      <c r="A268" s="1">
        <v>42074</v>
      </c>
      <c r="B268">
        <v>225.9</v>
      </c>
      <c r="C268" s="20" t="s">
        <v>56</v>
      </c>
      <c r="D268" s="20">
        <v>8</v>
      </c>
      <c r="E268" s="19" t="s">
        <v>13</v>
      </c>
      <c r="F268">
        <f t="shared" si="6"/>
        <v>230</v>
      </c>
      <c r="G268" s="22" t="s">
        <v>166</v>
      </c>
    </row>
    <row r="269" spans="1:7" ht="25">
      <c r="A269" s="1">
        <v>42074</v>
      </c>
      <c r="B269">
        <v>245.9</v>
      </c>
      <c r="C269" s="20" t="s">
        <v>12</v>
      </c>
      <c r="D269" s="20">
        <v>0</v>
      </c>
      <c r="E269" s="19" t="s">
        <v>13</v>
      </c>
      <c r="F269">
        <f t="shared" si="6"/>
        <v>250</v>
      </c>
      <c r="G269" s="22" t="s">
        <v>168</v>
      </c>
    </row>
    <row r="270" spans="1:7" ht="25">
      <c r="A270" s="1">
        <v>42074</v>
      </c>
      <c r="B270">
        <v>225.6</v>
      </c>
      <c r="C270" s="20" t="s">
        <v>12</v>
      </c>
      <c r="D270" s="20">
        <v>8</v>
      </c>
      <c r="E270" s="19" t="s">
        <v>13</v>
      </c>
      <c r="F270">
        <f t="shared" si="6"/>
        <v>230</v>
      </c>
      <c r="G270" s="22" t="s">
        <v>169</v>
      </c>
    </row>
    <row r="271" spans="1:7" ht="25">
      <c r="A271" s="1">
        <v>42074</v>
      </c>
      <c r="B271">
        <v>199.6</v>
      </c>
      <c r="C271" s="20" t="s">
        <v>20</v>
      </c>
      <c r="D271" s="20">
        <v>8</v>
      </c>
      <c r="E271" s="19" t="s">
        <v>19</v>
      </c>
      <c r="F271">
        <f t="shared" si="6"/>
        <v>200</v>
      </c>
      <c r="G271" s="22" t="s">
        <v>170</v>
      </c>
    </row>
    <row r="272" spans="1:7" ht="25">
      <c r="A272" s="1">
        <v>42074</v>
      </c>
      <c r="B272">
        <v>227.6</v>
      </c>
      <c r="C272" s="20" t="s">
        <v>56</v>
      </c>
      <c r="D272" s="20">
        <v>8</v>
      </c>
      <c r="E272" s="19" t="s">
        <v>13</v>
      </c>
      <c r="F272">
        <f t="shared" si="6"/>
        <v>230</v>
      </c>
      <c r="G272" s="22" t="s">
        <v>171</v>
      </c>
    </row>
    <row r="273" spans="1:7" ht="25">
      <c r="A273" s="1">
        <v>42075</v>
      </c>
      <c r="B273">
        <v>219.2</v>
      </c>
      <c r="C273" s="20" t="s">
        <v>12</v>
      </c>
      <c r="D273" s="20">
        <v>0</v>
      </c>
      <c r="E273" s="19" t="s">
        <v>13</v>
      </c>
      <c r="F273">
        <f t="shared" si="6"/>
        <v>220</v>
      </c>
      <c r="G273" s="22" t="s">
        <v>172</v>
      </c>
    </row>
    <row r="274" spans="1:7" ht="25">
      <c r="A274" s="1">
        <v>42075</v>
      </c>
      <c r="B274">
        <v>221.4</v>
      </c>
      <c r="C274" s="20" t="s">
        <v>12</v>
      </c>
      <c r="D274" s="20">
        <v>8</v>
      </c>
      <c r="E274" s="19" t="s">
        <v>13</v>
      </c>
      <c r="F274">
        <f t="shared" si="6"/>
        <v>220</v>
      </c>
      <c r="G274" s="22" t="s">
        <v>173</v>
      </c>
    </row>
    <row r="275" spans="1:7" ht="25">
      <c r="A275" s="1">
        <v>42075</v>
      </c>
      <c r="B275">
        <v>218.4</v>
      </c>
      <c r="C275" s="20" t="s">
        <v>20</v>
      </c>
      <c r="D275" s="20">
        <v>8</v>
      </c>
      <c r="E275" s="19" t="s">
        <v>19</v>
      </c>
      <c r="F275">
        <f t="shared" si="6"/>
        <v>220</v>
      </c>
      <c r="G275" s="22" t="s">
        <v>174</v>
      </c>
    </row>
    <row r="276" spans="1:7" ht="25">
      <c r="A276" s="1">
        <v>42075</v>
      </c>
      <c r="B276">
        <v>231.3</v>
      </c>
      <c r="C276" s="20" t="s">
        <v>56</v>
      </c>
      <c r="D276" s="20">
        <v>8</v>
      </c>
      <c r="E276" s="19" t="s">
        <v>13</v>
      </c>
      <c r="F276">
        <f t="shared" si="6"/>
        <v>230</v>
      </c>
      <c r="G276" s="22" t="s">
        <v>175</v>
      </c>
    </row>
    <row r="277" spans="1:7" ht="25">
      <c r="A277" s="1">
        <v>42076</v>
      </c>
      <c r="B277">
        <v>203.6</v>
      </c>
      <c r="C277" s="20" t="s">
        <v>12</v>
      </c>
      <c r="D277" s="20">
        <v>0</v>
      </c>
      <c r="E277" s="19" t="s">
        <v>13</v>
      </c>
      <c r="F277">
        <f t="shared" si="6"/>
        <v>200</v>
      </c>
      <c r="G277" s="22" t="s">
        <v>176</v>
      </c>
    </row>
    <row r="278" spans="1:7" ht="25">
      <c r="A278" s="1">
        <v>42076</v>
      </c>
      <c r="B278">
        <v>202.2</v>
      </c>
      <c r="C278" s="20" t="s">
        <v>12</v>
      </c>
      <c r="D278" s="20">
        <v>8</v>
      </c>
      <c r="E278" s="19" t="s">
        <v>13</v>
      </c>
      <c r="F278">
        <f t="shared" si="6"/>
        <v>200</v>
      </c>
      <c r="G278" s="22" t="s">
        <v>177</v>
      </c>
    </row>
    <row r="279" spans="1:7" ht="25">
      <c r="A279" s="1">
        <v>42076</v>
      </c>
      <c r="B279">
        <v>186.6</v>
      </c>
      <c r="C279" s="20" t="s">
        <v>20</v>
      </c>
      <c r="D279" s="20">
        <v>8</v>
      </c>
      <c r="E279" s="19" t="s">
        <v>19</v>
      </c>
      <c r="F279">
        <f t="shared" si="6"/>
        <v>190</v>
      </c>
      <c r="G279" s="22" t="s">
        <v>178</v>
      </c>
    </row>
    <row r="280" spans="1:7" ht="25">
      <c r="A280" s="1">
        <v>42076</v>
      </c>
      <c r="B280">
        <v>180.9</v>
      </c>
      <c r="C280" s="20" t="s">
        <v>56</v>
      </c>
      <c r="D280" s="20">
        <v>8</v>
      </c>
      <c r="E280" s="19" t="s">
        <v>13</v>
      </c>
      <c r="F280">
        <f t="shared" si="6"/>
        <v>180</v>
      </c>
      <c r="G280" s="22" t="s">
        <v>179</v>
      </c>
    </row>
    <row r="281" spans="1:7" ht="25">
      <c r="A281" s="1">
        <v>42076</v>
      </c>
      <c r="B281">
        <v>206.6</v>
      </c>
      <c r="C281" s="20" t="s">
        <v>12</v>
      </c>
      <c r="D281" s="20">
        <v>0</v>
      </c>
      <c r="E281" s="19" t="s">
        <v>13</v>
      </c>
      <c r="F281">
        <f t="shared" si="6"/>
        <v>210</v>
      </c>
      <c r="G281" s="22" t="s">
        <v>180</v>
      </c>
    </row>
    <row r="282" spans="1:7" ht="25">
      <c r="A282" s="1">
        <v>42076</v>
      </c>
      <c r="B282">
        <v>219.8</v>
      </c>
      <c r="C282" s="20" t="s">
        <v>12</v>
      </c>
      <c r="D282" s="20">
        <v>8</v>
      </c>
      <c r="E282" s="19" t="s">
        <v>13</v>
      </c>
      <c r="F282">
        <f t="shared" si="6"/>
        <v>220</v>
      </c>
      <c r="G282" s="22" t="s">
        <v>181</v>
      </c>
    </row>
    <row r="283" spans="1:7" ht="25">
      <c r="A283" s="1">
        <v>42076</v>
      </c>
      <c r="B283">
        <v>212.9</v>
      </c>
      <c r="C283" s="20" t="s">
        <v>20</v>
      </c>
      <c r="D283" s="20">
        <v>8</v>
      </c>
      <c r="E283" s="19" t="s">
        <v>19</v>
      </c>
      <c r="F283">
        <f t="shared" si="6"/>
        <v>210</v>
      </c>
      <c r="G283" s="22" t="s">
        <v>182</v>
      </c>
    </row>
    <row r="284" spans="1:7" ht="25">
      <c r="A284" s="1">
        <v>42076</v>
      </c>
      <c r="B284">
        <v>230.1</v>
      </c>
      <c r="C284" s="20" t="s">
        <v>56</v>
      </c>
      <c r="D284" s="20">
        <v>8</v>
      </c>
      <c r="E284" s="19" t="s">
        <v>13</v>
      </c>
      <c r="F284">
        <f t="shared" si="6"/>
        <v>230</v>
      </c>
      <c r="G284" s="22" t="s">
        <v>183</v>
      </c>
    </row>
    <row r="285" spans="1:7" ht="25">
      <c r="A285" s="1">
        <v>42077</v>
      </c>
      <c r="B285" s="24">
        <v>135.4</v>
      </c>
      <c r="C285" s="20" t="s">
        <v>12</v>
      </c>
      <c r="D285" s="20">
        <v>0</v>
      </c>
      <c r="E285" s="19" t="s">
        <v>13</v>
      </c>
      <c r="F285">
        <f t="shared" si="6"/>
        <v>140</v>
      </c>
      <c r="G285" s="22" t="s">
        <v>184</v>
      </c>
    </row>
    <row r="286" spans="1:7" ht="25">
      <c r="A286" s="1">
        <v>42077</v>
      </c>
      <c r="B286">
        <v>148.19999999999999</v>
      </c>
      <c r="C286" s="20" t="s">
        <v>12</v>
      </c>
      <c r="D286" s="20">
        <v>8</v>
      </c>
      <c r="E286" s="19" t="s">
        <v>13</v>
      </c>
      <c r="F286">
        <f t="shared" si="6"/>
        <v>150</v>
      </c>
      <c r="G286" s="22" t="s">
        <v>185</v>
      </c>
    </row>
    <row r="287" spans="1:7" ht="25">
      <c r="A287" s="1">
        <v>42077</v>
      </c>
      <c r="B287">
        <v>167.2</v>
      </c>
      <c r="C287" s="20" t="s">
        <v>20</v>
      </c>
      <c r="D287" s="20">
        <v>8</v>
      </c>
      <c r="E287" s="19" t="s">
        <v>19</v>
      </c>
      <c r="F287">
        <f t="shared" si="6"/>
        <v>170</v>
      </c>
      <c r="G287" s="22" t="s">
        <v>186</v>
      </c>
    </row>
    <row r="288" spans="1:7" ht="25">
      <c r="A288" s="1">
        <v>42077</v>
      </c>
      <c r="B288">
        <v>157.1</v>
      </c>
      <c r="C288" s="20" t="s">
        <v>56</v>
      </c>
      <c r="D288" s="20">
        <v>8</v>
      </c>
      <c r="E288" s="19" t="s">
        <v>13</v>
      </c>
      <c r="F288">
        <f t="shared" si="6"/>
        <v>160</v>
      </c>
      <c r="G288" s="22" t="s">
        <v>187</v>
      </c>
    </row>
    <row r="289" spans="1:7" ht="25">
      <c r="A289" s="1">
        <v>42077</v>
      </c>
      <c r="B289">
        <v>186.3</v>
      </c>
      <c r="C289" s="20" t="s">
        <v>12</v>
      </c>
      <c r="D289" s="20">
        <v>0</v>
      </c>
      <c r="E289" s="19" t="s">
        <v>13</v>
      </c>
      <c r="F289">
        <f t="shared" si="6"/>
        <v>190</v>
      </c>
      <c r="G289" s="22" t="s">
        <v>188</v>
      </c>
    </row>
    <row r="290" spans="1:7" ht="25">
      <c r="A290" s="1">
        <v>42077</v>
      </c>
      <c r="B290">
        <v>186.3</v>
      </c>
      <c r="C290" s="20" t="s">
        <v>12</v>
      </c>
      <c r="D290" s="20">
        <v>8</v>
      </c>
      <c r="E290" s="19" t="s">
        <v>13</v>
      </c>
      <c r="F290">
        <f t="shared" si="6"/>
        <v>190</v>
      </c>
      <c r="G290" s="22" t="s">
        <v>188</v>
      </c>
    </row>
    <row r="291" spans="1:7" ht="25">
      <c r="A291" s="1">
        <v>42077</v>
      </c>
      <c r="B291">
        <v>186.3</v>
      </c>
      <c r="C291" s="20" t="s">
        <v>20</v>
      </c>
      <c r="D291" s="20">
        <v>8</v>
      </c>
      <c r="E291" s="19" t="s">
        <v>19</v>
      </c>
      <c r="F291">
        <f t="shared" si="6"/>
        <v>190</v>
      </c>
      <c r="G291" s="22" t="s">
        <v>188</v>
      </c>
    </row>
    <row r="292" spans="1:7" ht="25">
      <c r="A292" s="1">
        <v>42077</v>
      </c>
      <c r="C292" s="20" t="s">
        <v>56</v>
      </c>
      <c r="D292" s="20">
        <v>8</v>
      </c>
      <c r="E292" s="19" t="s">
        <v>13</v>
      </c>
      <c r="G292" s="22" t="s">
        <v>189</v>
      </c>
    </row>
    <row r="293" spans="1:7" ht="25">
      <c r="A293" s="1">
        <v>42080</v>
      </c>
      <c r="C293" s="20" t="s">
        <v>12</v>
      </c>
      <c r="D293" s="20">
        <v>0</v>
      </c>
      <c r="E293" s="19" t="s">
        <v>13</v>
      </c>
      <c r="G293" s="22" t="s">
        <v>190</v>
      </c>
    </row>
    <row r="294" spans="1:7" ht="25">
      <c r="A294" s="1">
        <v>42080</v>
      </c>
      <c r="C294" s="20" t="s">
        <v>12</v>
      </c>
      <c r="D294" s="20">
        <v>8</v>
      </c>
      <c r="E294" s="19" t="s">
        <v>13</v>
      </c>
      <c r="G294" s="22" t="s">
        <v>191</v>
      </c>
    </row>
    <row r="295" spans="1:7" ht="25">
      <c r="A295" s="1">
        <v>42080</v>
      </c>
      <c r="C295" s="20" t="s">
        <v>20</v>
      </c>
      <c r="D295" s="20">
        <v>8</v>
      </c>
      <c r="E295" s="19" t="s">
        <v>19</v>
      </c>
      <c r="G295" s="22" t="s">
        <v>192</v>
      </c>
    </row>
    <row r="296" spans="1:7" ht="25">
      <c r="A296" s="1">
        <v>42080</v>
      </c>
      <c r="C296" s="20" t="s">
        <v>56</v>
      </c>
      <c r="D296" s="20">
        <v>8</v>
      </c>
      <c r="E296" s="19" t="s">
        <v>13</v>
      </c>
      <c r="G296" s="22" t="s">
        <v>191</v>
      </c>
    </row>
    <row r="297" spans="1:7" ht="25">
      <c r="A297" s="26">
        <v>42081</v>
      </c>
      <c r="C297" s="20" t="s">
        <v>12</v>
      </c>
      <c r="D297" s="20">
        <v>0</v>
      </c>
      <c r="E297" s="19" t="s">
        <v>13</v>
      </c>
      <c r="G297" s="22" t="s">
        <v>193</v>
      </c>
    </row>
    <row r="298" spans="1:7" ht="25">
      <c r="A298" s="26">
        <v>42081</v>
      </c>
      <c r="C298" s="20" t="s">
        <v>12</v>
      </c>
      <c r="D298" s="20">
        <v>8</v>
      </c>
      <c r="E298" s="19" t="s">
        <v>13</v>
      </c>
      <c r="G298" s="22" t="s">
        <v>194</v>
      </c>
    </row>
    <row r="299" spans="1:7" ht="25">
      <c r="A299" s="26">
        <v>42081</v>
      </c>
      <c r="C299" s="20" t="s">
        <v>20</v>
      </c>
      <c r="D299" s="20">
        <v>8</v>
      </c>
      <c r="E299" s="19" t="s">
        <v>19</v>
      </c>
      <c r="G299" s="22" t="s">
        <v>195</v>
      </c>
    </row>
    <row r="300" spans="1:7" ht="25">
      <c r="A300" s="26">
        <v>42081</v>
      </c>
      <c r="C300" s="20" t="s">
        <v>56</v>
      </c>
      <c r="D300" s="20">
        <v>8</v>
      </c>
      <c r="E300" s="19" t="s">
        <v>13</v>
      </c>
      <c r="G300" s="22" t="s">
        <v>196</v>
      </c>
    </row>
    <row r="1048576" spans="1:1">
      <c r="A1048576" s="1"/>
    </row>
  </sheetData>
  <hyperlinks>
    <hyperlink ref="G212" r:id="rId1"/>
    <hyperlink ref="G223" r:id="rId2"/>
    <hyperlink ref="G224" r:id="rId3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Sheet5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Green</dc:creator>
  <cp:lastModifiedBy>Jesse Green</cp:lastModifiedBy>
  <dcterms:created xsi:type="dcterms:W3CDTF">2015-01-15T22:57:47Z</dcterms:created>
  <dcterms:modified xsi:type="dcterms:W3CDTF">2015-03-18T14:56:46Z</dcterms:modified>
</cp:coreProperties>
</file>