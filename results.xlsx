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030"/>
  <workbookPr showInkAnnotation="0" hidePivotFieldList="1" autoCompressPictures="0"/>
  <bookViews>
    <workbookView xWindow="0" yWindow="0" windowWidth="25600" windowHeight="15540" tabRatio="500" activeTab="1"/>
  </bookViews>
  <sheets>
    <sheet name="Sheet1" sheetId="1" r:id="rId1"/>
    <sheet name="Sheet5" sheetId="5" r:id="rId2"/>
    <sheet name="Sheet4" sheetId="4" r:id="rId3"/>
  </sheets>
  <calcPr calcId="140000" calcMode="manual" concurrentCalc="0"/>
  <pivotCaches>
    <pivotCache cacheId="12" r:id="rId4"/>
  </pivotCaches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F101" i="4" l="1"/>
  <c r="F100" i="4"/>
  <c r="F99" i="4"/>
  <c r="F98" i="4"/>
  <c r="F97" i="4"/>
  <c r="F93" i="4"/>
  <c r="F94" i="4"/>
  <c r="F95" i="4"/>
  <c r="F96" i="4"/>
  <c r="F92" i="4"/>
  <c r="F91" i="4"/>
  <c r="F90" i="4"/>
  <c r="F89" i="4"/>
  <c r="F88" i="4"/>
  <c r="F87" i="4"/>
  <c r="F86" i="4"/>
  <c r="F85" i="4"/>
  <c r="F84" i="4"/>
  <c r="F83" i="4"/>
  <c r="F82" i="4"/>
  <c r="J3" i="4"/>
  <c r="J2" i="4"/>
  <c r="F78" i="4"/>
  <c r="F79" i="4"/>
  <c r="F80" i="4"/>
  <c r="F81" i="4"/>
  <c r="F77" i="4"/>
  <c r="F75" i="4"/>
  <c r="F76" i="4"/>
  <c r="F73" i="4"/>
  <c r="F74" i="4"/>
  <c r="F72" i="4"/>
  <c r="W5" i="5"/>
  <c r="W6" i="5"/>
  <c r="W7" i="5"/>
  <c r="W8" i="5"/>
  <c r="W9" i="5"/>
  <c r="W10" i="5"/>
  <c r="W11" i="5"/>
  <c r="W12" i="5"/>
  <c r="W13" i="5"/>
  <c r="W14" i="5"/>
  <c r="W15" i="5"/>
  <c r="W16" i="5"/>
  <c r="W4" i="5"/>
  <c r="W3" i="5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2" i="4"/>
  <c r="B30" i="1"/>
  <c r="B31" i="1"/>
  <c r="C30" i="1"/>
  <c r="C31" i="1"/>
  <c r="G30" i="1"/>
  <c r="G31" i="1"/>
  <c r="F30" i="1"/>
  <c r="F31" i="1"/>
  <c r="I30" i="1"/>
  <c r="H30" i="1"/>
  <c r="D30" i="1"/>
  <c r="E30" i="1"/>
  <c r="J30" i="1"/>
  <c r="K30" i="1"/>
  <c r="D31" i="1"/>
  <c r="E31" i="1"/>
  <c r="H31" i="1"/>
  <c r="I31" i="1"/>
  <c r="J31" i="1"/>
  <c r="K31" i="1"/>
</calcChain>
</file>

<file path=xl/sharedStrings.xml><?xml version="1.0" encoding="utf-8"?>
<sst xmlns="http://schemas.openxmlformats.org/spreadsheetml/2006/main" count="262" uniqueCount="40">
  <si>
    <t>Date</t>
  </si>
  <si>
    <t>Expected</t>
  </si>
  <si>
    <t>Actual</t>
  </si>
  <si>
    <t>EN - 0 - l2</t>
  </si>
  <si>
    <t>EN - 8 - l2</t>
  </si>
  <si>
    <t>EN - 0 - l1</t>
  </si>
  <si>
    <t>EN - 8 - l1</t>
  </si>
  <si>
    <t>SVR - 8 - l1</t>
  </si>
  <si>
    <t>rounded</t>
  </si>
  <si>
    <t>Row Labels</t>
  </si>
  <si>
    <t>Grand Total</t>
  </si>
  <si>
    <t>Total</t>
  </si>
  <si>
    <t>EN</t>
  </si>
  <si>
    <t>l2</t>
  </si>
  <si>
    <t>model</t>
  </si>
  <si>
    <t>cutoff</t>
  </si>
  <si>
    <t>loss</t>
  </si>
  <si>
    <t>date</t>
  </si>
  <si>
    <t>score</t>
  </si>
  <si>
    <t>l1</t>
  </si>
  <si>
    <t>SVR</t>
  </si>
  <si>
    <t>Count of score</t>
  </si>
  <si>
    <t>fd_id</t>
  </si>
  <si>
    <t>S128556021</t>
  </si>
  <si>
    <t>S128558921</t>
  </si>
  <si>
    <t>S128560946</t>
  </si>
  <si>
    <t>S128562122</t>
  </si>
  <si>
    <t>S128690094</t>
  </si>
  <si>
    <t>S128690900</t>
  </si>
  <si>
    <t>S128691698</t>
  </si>
  <si>
    <t>S128692562</t>
  </si>
  <si>
    <t>S128693346</t>
  </si>
  <si>
    <t>S129181179</t>
  </si>
  <si>
    <t>S129446269</t>
  </si>
  <si>
    <t>S129446700</t>
  </si>
  <si>
    <t>S129447099</t>
  </si>
  <si>
    <t>S129447368</t>
  </si>
  <si>
    <t>S129447712</t>
  </si>
  <si>
    <t>S129999113</t>
  </si>
  <si>
    <t>S130000006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</si>
</sst>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4"/>
      <color theme="1"/>
      <name val="Calibri"/>
      <scheme val="minor"/>
    </font>
    <font>
      <sz val="24"/>
      <color rgb="FF999999"/>
      <name val="Helvetica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15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24">
    <xf numFmtId="0" fontId="0" fillId="0" borderId="0" xfId="0"/>
    <xf numFmtId="14" fontId="0" fillId="0" borderId="0" xfId="0" applyNumberFormat="1"/>
    <xf numFmtId="0" fontId="0" fillId="0" borderId="0" xfId="0" applyFill="1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0" fillId="0" borderId="1" xfId="0" applyFill="1" applyBorder="1"/>
    <xf numFmtId="0" fontId="0" fillId="5" borderId="1" xfId="0" applyFill="1" applyBorder="1"/>
    <xf numFmtId="0" fontId="0" fillId="4" borderId="1" xfId="0" applyFill="1" applyBorder="1"/>
    <xf numFmtId="0" fontId="0" fillId="6" borderId="1" xfId="0" applyFill="1" applyBorder="1"/>
    <xf numFmtId="0" fontId="0" fillId="7" borderId="0" xfId="0" applyFill="1"/>
    <xf numFmtId="0" fontId="0" fillId="5" borderId="0" xfId="0" applyFill="1"/>
    <xf numFmtId="0" fontId="0" fillId="2" borderId="0" xfId="0" applyFill="1"/>
    <xf numFmtId="0" fontId="0" fillId="3" borderId="0" xfId="0" applyFill="1" applyBorder="1"/>
    <xf numFmtId="0" fontId="0" fillId="5" borderId="0" xfId="0" applyFill="1" applyBorder="1"/>
    <xf numFmtId="0" fontId="0" fillId="2" borderId="0" xfId="0" applyFill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Fill="1" applyBorder="1"/>
    <xf numFmtId="0" fontId="3" fillId="0" borderId="0" xfId="0" applyFont="1" applyFill="1" applyBorder="1" applyAlignment="1"/>
    <xf numFmtId="14" fontId="0" fillId="0" borderId="0" xfId="0" applyNumberFormat="1" applyFill="1" applyBorder="1"/>
    <xf numFmtId="0" fontId="4" fillId="0" borderId="0" xfId="0" applyFont="1"/>
    <xf numFmtId="0" fontId="3" fillId="0" borderId="0" xfId="0" applyFont="1" applyAlignment="1">
      <alignment horizontal="center"/>
    </xf>
  </cellXfs>
  <cellStyles count="115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pivotCacheDefinition" Target="pivotCache/pivotCacheDefinition1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Relationship Id="rId8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numRef>
              <c:f>Sheet5!$A$5:$A$18</c:f>
              <c:numCache>
                <c:formatCode>General</c:formatCode>
                <c:ptCount val="14"/>
                <c:pt idx="0">
                  <c:v>150.0</c:v>
                </c:pt>
                <c:pt idx="1">
                  <c:v>160.0</c:v>
                </c:pt>
                <c:pt idx="2">
                  <c:v>170.0</c:v>
                </c:pt>
                <c:pt idx="3">
                  <c:v>180.0</c:v>
                </c:pt>
                <c:pt idx="4">
                  <c:v>190.0</c:v>
                </c:pt>
                <c:pt idx="5">
                  <c:v>200.0</c:v>
                </c:pt>
                <c:pt idx="6">
                  <c:v>210.0</c:v>
                </c:pt>
                <c:pt idx="7">
                  <c:v>220.0</c:v>
                </c:pt>
                <c:pt idx="8">
                  <c:v>230.0</c:v>
                </c:pt>
                <c:pt idx="9">
                  <c:v>240.0</c:v>
                </c:pt>
                <c:pt idx="10">
                  <c:v>250.0</c:v>
                </c:pt>
                <c:pt idx="11">
                  <c:v>260.0</c:v>
                </c:pt>
                <c:pt idx="12">
                  <c:v>270.0</c:v>
                </c:pt>
                <c:pt idx="13">
                  <c:v>280.0</c:v>
                </c:pt>
              </c:numCache>
            </c:numRef>
          </c:cat>
          <c:val>
            <c:numRef>
              <c:f>Sheet5!$B$5:$B$18</c:f>
              <c:numCache>
                <c:formatCode>General</c:formatCode>
                <c:ptCount val="14"/>
                <c:pt idx="0">
                  <c:v>1.0</c:v>
                </c:pt>
                <c:pt idx="1">
                  <c:v>2.0</c:v>
                </c:pt>
                <c:pt idx="2">
                  <c:v>9.0</c:v>
                </c:pt>
                <c:pt idx="3">
                  <c:v>5.0</c:v>
                </c:pt>
                <c:pt idx="4">
                  <c:v>15.0</c:v>
                </c:pt>
                <c:pt idx="5">
                  <c:v>2.0</c:v>
                </c:pt>
                <c:pt idx="6">
                  <c:v>18.0</c:v>
                </c:pt>
                <c:pt idx="7">
                  <c:v>9.0</c:v>
                </c:pt>
                <c:pt idx="8">
                  <c:v>9.0</c:v>
                </c:pt>
                <c:pt idx="9">
                  <c:v>7.0</c:v>
                </c:pt>
                <c:pt idx="10">
                  <c:v>13.0</c:v>
                </c:pt>
                <c:pt idx="11">
                  <c:v>3.0</c:v>
                </c:pt>
                <c:pt idx="12">
                  <c:v>5.0</c:v>
                </c:pt>
                <c:pt idx="13">
                  <c:v>2.0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2090754408"/>
        <c:axId val="-2133061752"/>
      </c:barChart>
      <c:lineChart>
        <c:grouping val="standard"/>
        <c:varyColors val="0"/>
        <c:ser>
          <c:idx val="1"/>
          <c:order val="1"/>
          <c:marker>
            <c:symbol val="none"/>
          </c:marker>
          <c:cat>
            <c:numRef>
              <c:f>Sheet5!$V$3:$V$16</c:f>
              <c:numCache>
                <c:formatCode>General</c:formatCode>
                <c:ptCount val="14"/>
                <c:pt idx="0">
                  <c:v>150.0</c:v>
                </c:pt>
                <c:pt idx="1">
                  <c:v>160.0</c:v>
                </c:pt>
                <c:pt idx="2">
                  <c:v>170.0</c:v>
                </c:pt>
                <c:pt idx="3">
                  <c:v>180.0</c:v>
                </c:pt>
                <c:pt idx="4">
                  <c:v>190.0</c:v>
                </c:pt>
                <c:pt idx="5">
                  <c:v>200.0</c:v>
                </c:pt>
                <c:pt idx="6">
                  <c:v>210.0</c:v>
                </c:pt>
                <c:pt idx="7">
                  <c:v>220.0</c:v>
                </c:pt>
                <c:pt idx="8">
                  <c:v>230.0</c:v>
                </c:pt>
                <c:pt idx="9">
                  <c:v>240.0</c:v>
                </c:pt>
                <c:pt idx="10">
                  <c:v>250.0</c:v>
                </c:pt>
                <c:pt idx="11">
                  <c:v>260.0</c:v>
                </c:pt>
                <c:pt idx="12">
                  <c:v>270.0</c:v>
                </c:pt>
                <c:pt idx="13">
                  <c:v>280.0</c:v>
                </c:pt>
              </c:numCache>
            </c:numRef>
          </c:cat>
          <c:val>
            <c:numRef>
              <c:f>Sheet5!$W$3:$W$16</c:f>
              <c:numCache>
                <c:formatCode>General</c:formatCode>
                <c:ptCount val="14"/>
                <c:pt idx="0">
                  <c:v>0.00131912664842662</c:v>
                </c:pt>
                <c:pt idx="1">
                  <c:v>0.00248593068935784</c:v>
                </c:pt>
                <c:pt idx="2">
                  <c:v>0.00422517514181524</c:v>
                </c:pt>
                <c:pt idx="3">
                  <c:v>0.00647669721644443</c:v>
                </c:pt>
                <c:pt idx="4">
                  <c:v>0.00895397033022763</c:v>
                </c:pt>
                <c:pt idx="5">
                  <c:v>0.0111642842596271</c:v>
                </c:pt>
                <c:pt idx="6">
                  <c:v>0.0125544964647117</c:v>
                </c:pt>
                <c:pt idx="7">
                  <c:v>0.0127327112372427</c:v>
                </c:pt>
                <c:pt idx="8">
                  <c:v>0.0116465061212589</c:v>
                </c:pt>
                <c:pt idx="9">
                  <c:v>0.00960779231948683</c:v>
                </c:pt>
                <c:pt idx="10">
                  <c:v>0.00714833229264748</c:v>
                </c:pt>
                <c:pt idx="11">
                  <c:v>0.00479666111541324</c:v>
                </c:pt>
                <c:pt idx="12">
                  <c:v>0.00290286285891706</c:v>
                </c:pt>
                <c:pt idx="13">
                  <c:v>0.00158440855658821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2090080968"/>
        <c:axId val="-2090397352"/>
      </c:lineChart>
      <c:catAx>
        <c:axId val="-20900809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-2090397352"/>
        <c:crosses val="autoZero"/>
        <c:auto val="1"/>
        <c:lblAlgn val="ctr"/>
        <c:lblOffset val="100"/>
        <c:noMultiLvlLbl val="0"/>
      </c:catAx>
      <c:valAx>
        <c:axId val="-209039735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-2090080968"/>
        <c:crosses val="autoZero"/>
        <c:crossBetween val="between"/>
      </c:valAx>
      <c:valAx>
        <c:axId val="-2133061752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crossAx val="-2090754408"/>
        <c:crosses val="max"/>
        <c:crossBetween val="between"/>
      </c:valAx>
      <c:catAx>
        <c:axId val="-209075440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-2133061752"/>
        <c:crosses val="autoZero"/>
        <c:auto val="1"/>
        <c:lblAlgn val="ctr"/>
        <c:lblOffset val="100"/>
        <c:noMultiLvlLbl val="0"/>
      </c:cat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1.0" l="0.75" r="0.75" t="1.0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266700</xdr:colOff>
      <xdr:row>2</xdr:row>
      <xdr:rowOff>184150</xdr:rowOff>
    </xdr:from>
    <xdr:to>
      <xdr:col>18</xdr:col>
      <xdr:colOff>609600</xdr:colOff>
      <xdr:row>27</xdr:row>
      <xdr:rowOff>177800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Jesse Green" refreshedDate="42038.406953587961" createdVersion="4" refreshedVersion="4" minRefreshableVersion="3" recordCount="100">
  <cacheSource type="worksheet">
    <worksheetSource ref="A1:F101" sheet="Sheet4"/>
  </cacheSource>
  <cacheFields count="6">
    <cacheField name="date" numFmtId="14">
      <sharedItems containsSemiMixedTypes="0" containsNonDate="0" containsDate="1" containsString="0" minDate="2014-01-25T00:00:00" maxDate="2015-02-03T00:00:00"/>
    </cacheField>
    <cacheField name="score" numFmtId="0">
      <sharedItems containsSemiMixedTypes="0" containsString="0" containsNumber="1" minValue="152.30000000000001" maxValue="281.3"/>
    </cacheField>
    <cacheField name="model" numFmtId="0">
      <sharedItems/>
    </cacheField>
    <cacheField name="cutoff" numFmtId="0">
      <sharedItems containsSemiMixedTypes="0" containsString="0" containsNumber="1" containsInteger="1" minValue="0" maxValue="8"/>
    </cacheField>
    <cacheField name="loss" numFmtId="0">
      <sharedItems/>
    </cacheField>
    <cacheField name="rounded" numFmtId="0">
      <sharedItems containsSemiMixedTypes="0" containsString="0" containsNumber="1" containsInteger="1" minValue="150" maxValue="280" count="14">
        <n v="240"/>
        <n v="170"/>
        <n v="220"/>
        <n v="210"/>
        <n v="260"/>
        <n v="230"/>
        <n v="250"/>
        <n v="190"/>
        <n v="280"/>
        <n v="160"/>
        <n v="180"/>
        <n v="270"/>
        <n v="200"/>
        <n v="15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0">
  <r>
    <d v="2015-01-15T00:00:00"/>
    <n v="235.4"/>
    <s v="EN"/>
    <n v="0"/>
    <s v="l2"/>
    <x v="0"/>
  </r>
  <r>
    <d v="2015-01-16T00:00:00"/>
    <n v="170.9"/>
    <s v="EN"/>
    <n v="0"/>
    <s v="l2"/>
    <x v="1"/>
  </r>
  <r>
    <d v="2015-01-16T00:00:00"/>
    <n v="219.7"/>
    <s v="EN"/>
    <n v="0"/>
    <s v="l2"/>
    <x v="2"/>
  </r>
  <r>
    <d v="2015-01-17T00:00:00"/>
    <n v="240.4"/>
    <s v="EN"/>
    <n v="0"/>
    <s v="l2"/>
    <x v="0"/>
  </r>
  <r>
    <d v="2015-01-18T00:00:00"/>
    <n v="206.4"/>
    <s v="EN"/>
    <n v="0"/>
    <s v="l2"/>
    <x v="3"/>
  </r>
  <r>
    <d v="2015-01-19T00:00:00"/>
    <n v="256.2"/>
    <s v="EN"/>
    <n v="0"/>
    <s v="l2"/>
    <x v="4"/>
  </r>
  <r>
    <d v="2015-01-20T00:00:00"/>
    <n v="225.5"/>
    <s v="EN"/>
    <n v="0"/>
    <s v="l2"/>
    <x v="5"/>
  </r>
  <r>
    <d v="2015-01-20T00:00:00"/>
    <n v="247.5"/>
    <s v="EN"/>
    <n v="0"/>
    <s v="l2"/>
    <x v="6"/>
  </r>
  <r>
    <d v="2015-01-22T00:00:00"/>
    <n v="189.9"/>
    <s v="EN"/>
    <n v="0"/>
    <s v="l2"/>
    <x v="7"/>
  </r>
  <r>
    <d v="2015-01-23T00:00:00"/>
    <n v="281.3"/>
    <s v="EN"/>
    <n v="0"/>
    <s v="l2"/>
    <x v="8"/>
  </r>
  <r>
    <d v="2014-01-25T00:00:00"/>
    <n v="213.4"/>
    <s v="EN"/>
    <n v="0"/>
    <s v="l2"/>
    <x v="3"/>
  </r>
  <r>
    <d v="2014-01-25T00:00:00"/>
    <n v="214.8"/>
    <s v="EN"/>
    <n v="0"/>
    <s v="l2"/>
    <x v="3"/>
  </r>
  <r>
    <d v="2014-01-28T00:00:00"/>
    <n v="207.2"/>
    <s v="EN"/>
    <n v="0"/>
    <s v="l2"/>
    <x v="3"/>
  </r>
  <r>
    <d v="2014-01-27T00:00:00"/>
    <n v="162.4"/>
    <s v="EN"/>
    <n v="0"/>
    <s v="l2"/>
    <x v="9"/>
  </r>
  <r>
    <d v="2014-01-26T00:00:00"/>
    <n v="249.2"/>
    <s v="EN"/>
    <n v="0"/>
    <s v="l2"/>
    <x v="6"/>
  </r>
  <r>
    <d v="2014-01-26T00:00:00"/>
    <n v="191.1"/>
    <s v="EN"/>
    <n v="0"/>
    <s v="l2"/>
    <x v="7"/>
  </r>
  <r>
    <d v="2015-01-15T00:00:00"/>
    <n v="230"/>
    <s v="EN"/>
    <n v="8"/>
    <s v="l2"/>
    <x v="5"/>
  </r>
  <r>
    <d v="2015-01-16T00:00:00"/>
    <n v="172.8"/>
    <s v="EN"/>
    <n v="8"/>
    <s v="l2"/>
    <x v="1"/>
  </r>
  <r>
    <d v="2015-01-16T00:00:00"/>
    <n v="219.7"/>
    <s v="EN"/>
    <n v="8"/>
    <s v="l2"/>
    <x v="2"/>
  </r>
  <r>
    <d v="2015-01-17T00:00:00"/>
    <n v="192.3"/>
    <s v="EN"/>
    <n v="8"/>
    <s v="l2"/>
    <x v="7"/>
  </r>
  <r>
    <d v="2015-01-18T00:00:00"/>
    <n v="206.4"/>
    <s v="EN"/>
    <n v="8"/>
    <s v="l2"/>
    <x v="3"/>
  </r>
  <r>
    <d v="2015-01-19T00:00:00"/>
    <n v="258.7"/>
    <s v="EN"/>
    <n v="8"/>
    <s v="l2"/>
    <x v="4"/>
  </r>
  <r>
    <d v="2015-01-20T00:00:00"/>
    <n v="226.9"/>
    <s v="EN"/>
    <n v="8"/>
    <s v="l2"/>
    <x v="5"/>
  </r>
  <r>
    <d v="2015-01-20T00:00:00"/>
    <n v="225.9"/>
    <s v="EN"/>
    <n v="8"/>
    <s v="l2"/>
    <x v="5"/>
  </r>
  <r>
    <d v="2015-01-22T00:00:00"/>
    <n v="177"/>
    <s v="EN"/>
    <n v="8"/>
    <s v="l2"/>
    <x v="10"/>
  </r>
  <r>
    <d v="2015-01-23T00:00:00"/>
    <n v="231.8"/>
    <s v="EN"/>
    <n v="8"/>
    <s v="l2"/>
    <x v="5"/>
  </r>
  <r>
    <d v="2014-01-25T00:00:00"/>
    <n v="194.9"/>
    <s v="EN"/>
    <n v="8"/>
    <s v="l2"/>
    <x v="7"/>
  </r>
  <r>
    <d v="2014-01-25T00:00:00"/>
    <n v="214.8"/>
    <s v="EN"/>
    <n v="8"/>
    <s v="l2"/>
    <x v="3"/>
  </r>
  <r>
    <d v="2014-01-28T00:00:00"/>
    <n v="208.3"/>
    <s v="EN"/>
    <n v="8"/>
    <s v="l2"/>
    <x v="3"/>
  </r>
  <r>
    <d v="2014-01-27T00:00:00"/>
    <n v="166.8"/>
    <s v="EN"/>
    <n v="8"/>
    <s v="l2"/>
    <x v="1"/>
  </r>
  <r>
    <d v="2014-01-26T00:00:00"/>
    <n v="270"/>
    <s v="EN"/>
    <n v="8"/>
    <s v="l2"/>
    <x v="11"/>
  </r>
  <r>
    <d v="2014-01-26T00:00:00"/>
    <n v="191.1"/>
    <s v="EN"/>
    <n v="8"/>
    <s v="l2"/>
    <x v="7"/>
  </r>
  <r>
    <d v="2015-01-17T00:00:00"/>
    <n v="192.3"/>
    <s v="EN"/>
    <n v="0"/>
    <s v="l1"/>
    <x v="7"/>
  </r>
  <r>
    <d v="2015-01-18T00:00:00"/>
    <n v="206.4"/>
    <s v="EN"/>
    <n v="0"/>
    <s v="l1"/>
    <x v="3"/>
  </r>
  <r>
    <d v="2015-01-19T00:00:00"/>
    <n v="253.8"/>
    <s v="EN"/>
    <n v="0"/>
    <s v="l1"/>
    <x v="6"/>
  </r>
  <r>
    <d v="2015-01-20T00:00:00"/>
    <n v="226.9"/>
    <s v="EN"/>
    <n v="0"/>
    <s v="l1"/>
    <x v="5"/>
  </r>
  <r>
    <d v="2015-01-20T00:00:00"/>
    <n v="248.4"/>
    <s v="EN"/>
    <n v="0"/>
    <s v="l1"/>
    <x v="6"/>
  </r>
  <r>
    <d v="2015-01-22T00:00:00"/>
    <n v="189.9"/>
    <s v="EN"/>
    <n v="0"/>
    <s v="l1"/>
    <x v="7"/>
  </r>
  <r>
    <d v="2015-01-23T00:00:00"/>
    <n v="271.5"/>
    <s v="EN"/>
    <n v="0"/>
    <s v="l1"/>
    <x v="11"/>
  </r>
  <r>
    <d v="2014-01-25T00:00:00"/>
    <n v="205.9"/>
    <s v="EN"/>
    <n v="0"/>
    <s v="l1"/>
    <x v="3"/>
  </r>
  <r>
    <d v="2014-01-25T00:00:00"/>
    <n v="213.5"/>
    <s v="EN"/>
    <n v="0"/>
    <s v="l1"/>
    <x v="3"/>
  </r>
  <r>
    <d v="2014-01-28T00:00:00"/>
    <n v="202"/>
    <s v="EN"/>
    <n v="0"/>
    <s v="l1"/>
    <x v="12"/>
  </r>
  <r>
    <d v="2014-01-27T00:00:00"/>
    <n v="152.30000000000001"/>
    <s v="EN"/>
    <n v="0"/>
    <s v="l1"/>
    <x v="13"/>
  </r>
  <r>
    <d v="2014-01-26T00:00:00"/>
    <n v="249.2"/>
    <s v="EN"/>
    <n v="0"/>
    <s v="l1"/>
    <x v="6"/>
  </r>
  <r>
    <d v="2014-01-26T00:00:00"/>
    <n v="191.1"/>
    <s v="EN"/>
    <n v="0"/>
    <s v="l1"/>
    <x v="7"/>
  </r>
  <r>
    <d v="2015-01-17T00:00:00"/>
    <n v="192.3"/>
    <s v="EN"/>
    <n v="8"/>
    <s v="l1"/>
    <x v="7"/>
  </r>
  <r>
    <d v="2015-01-18T00:00:00"/>
    <n v="206.4"/>
    <s v="EN"/>
    <n v="8"/>
    <s v="l1"/>
    <x v="3"/>
  </r>
  <r>
    <d v="2015-01-19T00:00:00"/>
    <n v="275.2"/>
    <s v="EN"/>
    <n v="8"/>
    <s v="l1"/>
    <x v="8"/>
  </r>
  <r>
    <d v="2015-01-20T00:00:00"/>
    <n v="226.9"/>
    <s v="EN"/>
    <n v="8"/>
    <s v="l1"/>
    <x v="5"/>
  </r>
  <r>
    <d v="2015-01-20T00:00:00"/>
    <n v="249.7"/>
    <s v="EN"/>
    <n v="8"/>
    <s v="l1"/>
    <x v="6"/>
  </r>
  <r>
    <d v="2015-01-22T00:00:00"/>
    <n v="213.8"/>
    <s v="EN"/>
    <n v="8"/>
    <s v="l1"/>
    <x v="3"/>
  </r>
  <r>
    <d v="2015-01-23T00:00:00"/>
    <n v="252"/>
    <s v="EN"/>
    <n v="8"/>
    <s v="l1"/>
    <x v="6"/>
  </r>
  <r>
    <d v="2014-01-25T00:00:00"/>
    <n v="227.9"/>
    <s v="EN"/>
    <n v="8"/>
    <s v="l1"/>
    <x v="5"/>
  </r>
  <r>
    <d v="2014-01-25T00:00:00"/>
    <n v="215.8"/>
    <s v="EN"/>
    <n v="8"/>
    <s v="l1"/>
    <x v="2"/>
  </r>
  <r>
    <d v="2014-01-28T00:00:00"/>
    <n v="213.8"/>
    <s v="EN"/>
    <n v="8"/>
    <s v="l1"/>
    <x v="3"/>
  </r>
  <r>
    <d v="2014-01-27T00:00:00"/>
    <n v="163.30000000000001"/>
    <s v="EN"/>
    <n v="8"/>
    <s v="l1"/>
    <x v="9"/>
  </r>
  <r>
    <d v="2014-01-26T00:00:00"/>
    <n v="220.7"/>
    <s v="EN"/>
    <n v="8"/>
    <s v="l1"/>
    <x v="2"/>
  </r>
  <r>
    <d v="2014-01-26T00:00:00"/>
    <n v="191.1"/>
    <s v="EN"/>
    <n v="8"/>
    <s v="l1"/>
    <x v="7"/>
  </r>
  <r>
    <d v="2015-01-18T00:00:00"/>
    <n v="243.3"/>
    <s v="SVR"/>
    <n v="8"/>
    <s v="l1"/>
    <x v="0"/>
  </r>
  <r>
    <d v="2015-01-19T00:00:00"/>
    <n v="249.7"/>
    <s v="SVR"/>
    <n v="8"/>
    <s v="l1"/>
    <x v="6"/>
  </r>
  <r>
    <d v="2015-01-20T00:00:00"/>
    <n v="226.9"/>
    <s v="SVR"/>
    <n v="8"/>
    <s v="l1"/>
    <x v="5"/>
  </r>
  <r>
    <d v="2015-01-20T00:00:00"/>
    <n v="240.9"/>
    <s v="SVR"/>
    <n v="8"/>
    <s v="l1"/>
    <x v="0"/>
  </r>
  <r>
    <d v="2015-01-22T00:00:00"/>
    <n v="213.8"/>
    <s v="SVR"/>
    <n v="8"/>
    <s v="l1"/>
    <x v="3"/>
  </r>
  <r>
    <d v="2015-01-23T00:00:00"/>
    <n v="243.6"/>
    <s v="SVR"/>
    <n v="8"/>
    <s v="l1"/>
    <x v="0"/>
  </r>
  <r>
    <d v="2014-01-25T00:00:00"/>
    <n v="173"/>
    <s v="SVR"/>
    <n v="8"/>
    <s v="l1"/>
    <x v="1"/>
  </r>
  <r>
    <d v="2014-01-25T00:00:00"/>
    <n v="186.6"/>
    <s v="SVR"/>
    <n v="8"/>
    <s v="l1"/>
    <x v="7"/>
  </r>
  <r>
    <d v="2014-01-28T00:00:00"/>
    <n v="199.6"/>
    <s v="SVR"/>
    <n v="8"/>
    <s v="l1"/>
    <x v="12"/>
  </r>
  <r>
    <d v="2014-01-27T00:00:00"/>
    <n v="177.9"/>
    <s v="SVR"/>
    <n v="8"/>
    <s v="l1"/>
    <x v="10"/>
  </r>
  <r>
    <d v="2014-01-26T00:00:00"/>
    <n v="220.7"/>
    <s v="SVR"/>
    <n v="8"/>
    <s v="l1"/>
    <x v="2"/>
  </r>
  <r>
    <d v="2014-01-26T00:00:00"/>
    <n v="188.2"/>
    <s v="SVR"/>
    <n v="8"/>
    <s v="l1"/>
    <x v="7"/>
  </r>
  <r>
    <d v="2015-01-29T00:00:00"/>
    <n v="271.10000000000002"/>
    <s v="EN"/>
    <n v="8"/>
    <s v="l2"/>
    <x v="11"/>
  </r>
  <r>
    <d v="2015-01-29T00:00:00"/>
    <n v="271.10000000000002"/>
    <s v="EN"/>
    <n v="8"/>
    <s v="l1"/>
    <x v="11"/>
  </r>
  <r>
    <d v="2015-01-29T00:00:00"/>
    <n v="271.10000000000002"/>
    <s v="EN"/>
    <n v="0"/>
    <s v="l1"/>
    <x v="11"/>
  </r>
  <r>
    <d v="2015-01-29T00:00:00"/>
    <n v="218.7"/>
    <s v="EN"/>
    <n v="0"/>
    <s v="l2"/>
    <x v="2"/>
  </r>
  <r>
    <d v="2015-01-29T00:00:00"/>
    <n v="264.8"/>
    <s v="SVR"/>
    <n v="8"/>
    <s v="l1"/>
    <x v="4"/>
  </r>
  <r>
    <d v="2015-01-30T00:00:00"/>
    <n v="173.7"/>
    <s v="EN"/>
    <n v="8"/>
    <s v="l2"/>
    <x v="1"/>
  </r>
  <r>
    <d v="2015-01-30T00:00:00"/>
    <n v="173.7"/>
    <s v="EN"/>
    <n v="8"/>
    <s v="l1"/>
    <x v="1"/>
  </r>
  <r>
    <d v="2015-01-30T00:00:00"/>
    <n v="173.7"/>
    <s v="EN"/>
    <n v="0"/>
    <s v="l1"/>
    <x v="1"/>
  </r>
  <r>
    <d v="2015-01-30T00:00:00"/>
    <n v="173.7"/>
    <s v="EN"/>
    <n v="0"/>
    <s v="l2"/>
    <x v="1"/>
  </r>
  <r>
    <d v="2015-01-30T00:00:00"/>
    <n v="173.7"/>
    <s v="SVR"/>
    <n v="8"/>
    <s v="l1"/>
    <x v="1"/>
  </r>
  <r>
    <d v="2015-01-31T00:00:00"/>
    <n v="191.5"/>
    <s v="EN"/>
    <n v="8"/>
    <s v="l2"/>
    <x v="7"/>
  </r>
  <r>
    <d v="2015-01-31T00:00:00"/>
    <n v="178.6"/>
    <s v="EN"/>
    <n v="8"/>
    <s v="l1"/>
    <x v="10"/>
  </r>
  <r>
    <d v="2015-01-31T00:00:00"/>
    <n v="178.7"/>
    <s v="EN"/>
    <n v="0"/>
    <s v="l1"/>
    <x v="10"/>
  </r>
  <r>
    <d v="2015-01-31T00:00:00"/>
    <n v="191.5"/>
    <s v="EN"/>
    <n v="0"/>
    <s v="l2"/>
    <x v="7"/>
  </r>
  <r>
    <d v="2015-01-31T00:00:00"/>
    <n v="217.7"/>
    <s v="SVR"/>
    <n v="8"/>
    <s v="l1"/>
    <x v="2"/>
  </r>
  <r>
    <d v="2015-01-31T00:00:00"/>
    <n v="219.3"/>
    <s v="EN"/>
    <n v="8"/>
    <s v="l2"/>
    <x v="2"/>
  </r>
  <r>
    <d v="2015-01-31T00:00:00"/>
    <n v="205.4"/>
    <s v="EN"/>
    <n v="8"/>
    <s v="l1"/>
    <x v="3"/>
  </r>
  <r>
    <d v="2015-01-31T00:00:00"/>
    <n v="185.9"/>
    <s v="EN"/>
    <n v="0"/>
    <s v="l1"/>
    <x v="7"/>
  </r>
  <r>
    <d v="2015-01-31T00:00:00"/>
    <n v="179.4"/>
    <s v="EN"/>
    <n v="0"/>
    <s v="l2"/>
    <x v="10"/>
  </r>
  <r>
    <d v="2015-01-31T00:00:00"/>
    <n v="212.8"/>
    <s v="SVR"/>
    <n v="8"/>
    <s v="l1"/>
    <x v="3"/>
  </r>
  <r>
    <d v="2015-02-01T00:00:00"/>
    <n v="254.5"/>
    <s v="EN"/>
    <n v="0"/>
    <s v="l2"/>
    <x v="6"/>
  </r>
  <r>
    <d v="2015-02-01T00:00:00"/>
    <n v="254.5"/>
    <s v="EN"/>
    <n v="8"/>
    <s v="l2"/>
    <x v="6"/>
  </r>
  <r>
    <d v="2015-02-01T00:00:00"/>
    <n v="254.5"/>
    <s v="EN"/>
    <n v="0"/>
    <s v="l1"/>
    <x v="6"/>
  </r>
  <r>
    <d v="2015-02-01T00:00:00"/>
    <n v="254.5"/>
    <s v="EN"/>
    <n v="8"/>
    <s v="l1"/>
    <x v="6"/>
  </r>
  <r>
    <d v="2015-02-01T00:00:00"/>
    <n v="254.5"/>
    <s v="SVR"/>
    <n v="8"/>
    <s v="l1"/>
    <x v="6"/>
  </r>
  <r>
    <d v="2015-02-02T00:00:00"/>
    <n v="211.6"/>
    <s v="EN"/>
    <n v="0"/>
    <s v="l2"/>
    <x v="3"/>
  </r>
  <r>
    <d v="2015-02-02T00:00:00"/>
    <n v="215.6"/>
    <s v="EN"/>
    <n v="8"/>
    <s v="l2"/>
    <x v="2"/>
  </r>
  <r>
    <d v="2015-02-02T00:00:00"/>
    <n v="214.7"/>
    <s v="EN"/>
    <n v="0"/>
    <s v="l1"/>
    <x v="3"/>
  </r>
  <r>
    <d v="2015-02-02T00:00:00"/>
    <n v="242"/>
    <s v="EN"/>
    <n v="8"/>
    <s v="l1"/>
    <x v="0"/>
  </r>
  <r>
    <d v="2015-02-02T00:00:00"/>
    <n v="239"/>
    <s v="SVR"/>
    <n v="8"/>
    <s v="l1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12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gridDropZones="1" multipleFieldFilters="0">
  <location ref="A3:B19" firstHeaderRow="2" firstDataRow="2" firstDataCol="1"/>
  <pivotFields count="6">
    <pivotField numFmtId="14" showAll="0"/>
    <pivotField dataField="1" showAll="0"/>
    <pivotField showAll="0"/>
    <pivotField showAll="0"/>
    <pivotField showAll="0"/>
    <pivotField axis="axisRow" showAll="0">
      <items count="15">
        <item x="13"/>
        <item x="9"/>
        <item x="1"/>
        <item x="10"/>
        <item x="7"/>
        <item x="12"/>
        <item x="3"/>
        <item x="2"/>
        <item x="5"/>
        <item x="0"/>
        <item x="6"/>
        <item x="4"/>
        <item x="11"/>
        <item x="8"/>
        <item t="default"/>
      </items>
    </pivotField>
  </pivotFields>
  <rowFields count="1">
    <field x="5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Items count="1">
    <i/>
  </colItems>
  <dataFields count="1">
    <dataField name="Count of score" fld="1" subtotal="count" baseField="0" baseItem="0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1"/>
  <sheetViews>
    <sheetView workbookViewId="0">
      <selection activeCell="K7" sqref="K7:K18"/>
    </sheetView>
  </sheetViews>
  <sheetFormatPr baseColWidth="10" defaultRowHeight="15" x14ac:dyDescent="0"/>
  <cols>
    <col min="2" max="2" width="14.1640625" customWidth="1"/>
    <col min="3" max="3" width="11.83203125" customWidth="1"/>
  </cols>
  <sheetData>
    <row r="1" spans="1:12" ht="53" customHeight="1">
      <c r="B1" s="23" t="s">
        <v>3</v>
      </c>
      <c r="C1" s="23"/>
      <c r="D1" s="23" t="s">
        <v>4</v>
      </c>
      <c r="E1" s="23"/>
      <c r="F1" s="23" t="s">
        <v>5</v>
      </c>
      <c r="G1" s="23"/>
      <c r="H1" s="23" t="s">
        <v>6</v>
      </c>
      <c r="I1" s="23"/>
      <c r="J1" s="23" t="s">
        <v>7</v>
      </c>
      <c r="K1" s="23"/>
    </row>
    <row r="2" spans="1:12" ht="15" customHeight="1">
      <c r="A2" t="s">
        <v>0</v>
      </c>
      <c r="B2" t="s">
        <v>1</v>
      </c>
      <c r="C2" t="s">
        <v>2</v>
      </c>
      <c r="D2" t="s">
        <v>1</v>
      </c>
      <c r="E2" t="s">
        <v>2</v>
      </c>
      <c r="F2" t="s">
        <v>1</v>
      </c>
      <c r="G2" t="s">
        <v>2</v>
      </c>
      <c r="H2" t="s">
        <v>1</v>
      </c>
      <c r="I2" t="s">
        <v>2</v>
      </c>
      <c r="J2" t="s">
        <v>1</v>
      </c>
      <c r="K2" t="s">
        <v>2</v>
      </c>
    </row>
    <row r="3" spans="1:12" ht="15" customHeight="1">
      <c r="A3" s="1">
        <v>42019</v>
      </c>
      <c r="B3" s="3">
        <v>222.26</v>
      </c>
      <c r="C3" s="3">
        <v>235.4</v>
      </c>
      <c r="D3" s="3">
        <v>220.3</v>
      </c>
      <c r="E3" s="3">
        <v>230</v>
      </c>
      <c r="F3" s="3"/>
      <c r="G3" s="3"/>
      <c r="H3" s="3"/>
      <c r="I3" s="3"/>
      <c r="J3" s="3"/>
      <c r="K3" s="3"/>
      <c r="L3" s="2"/>
    </row>
    <row r="4" spans="1:12" ht="15" customHeight="1">
      <c r="A4" s="1">
        <v>42020</v>
      </c>
      <c r="B4" s="3">
        <v>208.65</v>
      </c>
      <c r="C4" s="3">
        <v>170.9</v>
      </c>
      <c r="D4" s="3">
        <v>206.87</v>
      </c>
      <c r="E4" s="3">
        <v>172.8</v>
      </c>
      <c r="F4" s="3"/>
      <c r="G4" s="3"/>
      <c r="H4" s="3"/>
      <c r="I4" s="3"/>
      <c r="J4" s="3"/>
      <c r="K4" s="3"/>
      <c r="L4" s="2"/>
    </row>
    <row r="5" spans="1:12" ht="15" customHeight="1">
      <c r="A5" s="1">
        <v>42020</v>
      </c>
      <c r="B5" s="3">
        <v>221.04</v>
      </c>
      <c r="C5" s="3">
        <v>219.7</v>
      </c>
      <c r="D5" s="3">
        <v>219.74</v>
      </c>
      <c r="E5" s="3">
        <v>219.7</v>
      </c>
      <c r="F5" s="3"/>
      <c r="G5" s="3"/>
      <c r="H5" s="3"/>
      <c r="I5" s="3"/>
      <c r="J5" s="3"/>
      <c r="K5" s="3"/>
      <c r="L5" s="2"/>
    </row>
    <row r="6" spans="1:12" ht="15" customHeight="1">
      <c r="A6" s="1">
        <v>42021</v>
      </c>
      <c r="B6" s="4">
        <v>213.77</v>
      </c>
      <c r="C6" s="4">
        <v>240.4</v>
      </c>
      <c r="D6" s="5">
        <v>213.63</v>
      </c>
      <c r="E6" s="5">
        <v>192.3</v>
      </c>
      <c r="F6" s="5">
        <v>214.21</v>
      </c>
      <c r="G6" s="5">
        <v>192.3</v>
      </c>
      <c r="H6" s="5">
        <v>215.82</v>
      </c>
      <c r="I6" s="5">
        <v>192.3</v>
      </c>
      <c r="J6" s="6"/>
      <c r="K6" s="6"/>
      <c r="L6" s="2"/>
    </row>
    <row r="7" spans="1:12" ht="15" customHeight="1">
      <c r="A7" s="1">
        <v>42022</v>
      </c>
      <c r="B7" s="7">
        <v>209.59</v>
      </c>
      <c r="C7" s="7">
        <v>206.4</v>
      </c>
      <c r="D7" s="7">
        <v>208.72</v>
      </c>
      <c r="E7" s="7">
        <v>206.4</v>
      </c>
      <c r="F7" s="7">
        <v>209.83</v>
      </c>
      <c r="G7" s="7">
        <v>206.4</v>
      </c>
      <c r="H7" s="7">
        <v>209.31</v>
      </c>
      <c r="I7" s="7">
        <v>206.4</v>
      </c>
      <c r="J7" s="8">
        <v>206.45</v>
      </c>
      <c r="K7" s="8">
        <v>243.3</v>
      </c>
      <c r="L7" s="2"/>
    </row>
    <row r="8" spans="1:12">
      <c r="A8" s="1">
        <v>42023</v>
      </c>
      <c r="B8" s="7">
        <v>218.3</v>
      </c>
      <c r="C8" s="7">
        <v>256.2</v>
      </c>
      <c r="D8" s="8">
        <v>216.55</v>
      </c>
      <c r="E8" s="8">
        <v>258.7</v>
      </c>
      <c r="F8" s="5">
        <v>217.97</v>
      </c>
      <c r="G8" s="5">
        <v>253.8</v>
      </c>
      <c r="H8" s="4">
        <v>217.45</v>
      </c>
      <c r="I8" s="4">
        <v>275.2</v>
      </c>
      <c r="J8" s="9">
        <v>214.36</v>
      </c>
      <c r="K8" s="9">
        <v>249.7</v>
      </c>
      <c r="L8" s="2"/>
    </row>
    <row r="9" spans="1:12">
      <c r="A9" s="1">
        <v>42024</v>
      </c>
      <c r="B9" s="10">
        <v>231.67</v>
      </c>
      <c r="C9" s="10">
        <v>225.5</v>
      </c>
      <c r="D9" s="11">
        <v>221.95</v>
      </c>
      <c r="E9" s="11">
        <v>226.9</v>
      </c>
      <c r="F9" s="11">
        <v>232.12</v>
      </c>
      <c r="G9" s="11">
        <v>226.9</v>
      </c>
      <c r="H9" s="11">
        <v>230.82</v>
      </c>
      <c r="I9" s="11">
        <v>226.9</v>
      </c>
      <c r="J9" s="11">
        <v>228.3</v>
      </c>
      <c r="K9" s="11">
        <v>226.9</v>
      </c>
      <c r="L9" s="2"/>
    </row>
    <row r="10" spans="1:12">
      <c r="A10" s="1">
        <v>42024</v>
      </c>
      <c r="B10" s="7">
        <v>219.77</v>
      </c>
      <c r="C10" s="7">
        <v>247.5</v>
      </c>
      <c r="D10" s="8">
        <v>218.66</v>
      </c>
      <c r="E10" s="8">
        <v>225.9</v>
      </c>
      <c r="F10" s="5">
        <v>219.88</v>
      </c>
      <c r="G10" s="5">
        <v>248.4</v>
      </c>
      <c r="H10" s="4">
        <v>221.42</v>
      </c>
      <c r="I10" s="4">
        <v>249.7</v>
      </c>
      <c r="J10" s="9">
        <v>221.09</v>
      </c>
      <c r="K10" s="9">
        <v>240.9</v>
      </c>
      <c r="L10" s="2"/>
    </row>
    <row r="11" spans="1:12">
      <c r="A11" s="1">
        <v>42026</v>
      </c>
      <c r="B11" s="13">
        <v>223.72</v>
      </c>
      <c r="C11" s="13">
        <v>189.9</v>
      </c>
      <c r="D11" s="12">
        <v>224.08</v>
      </c>
      <c r="E11" s="12">
        <v>177</v>
      </c>
      <c r="F11" s="13">
        <v>224.29</v>
      </c>
      <c r="G11" s="13">
        <v>189.9</v>
      </c>
      <c r="H11" s="11">
        <v>226.23</v>
      </c>
      <c r="I11" s="11">
        <v>213.8</v>
      </c>
      <c r="J11" s="11">
        <v>224.41</v>
      </c>
      <c r="K11" s="11">
        <v>213.8</v>
      </c>
      <c r="L11" s="2"/>
    </row>
    <row r="12" spans="1:12">
      <c r="A12" s="1">
        <v>42027</v>
      </c>
      <c r="B12" s="14">
        <v>217.08</v>
      </c>
      <c r="C12" s="14">
        <v>281.3</v>
      </c>
      <c r="D12" s="2">
        <v>218.38</v>
      </c>
      <c r="E12" s="2">
        <v>231.8</v>
      </c>
      <c r="F12" s="13">
        <v>217.73</v>
      </c>
      <c r="G12" s="13">
        <v>271.5</v>
      </c>
      <c r="H12" s="15">
        <v>218.36</v>
      </c>
      <c r="I12" s="15">
        <v>252</v>
      </c>
      <c r="J12" s="2">
        <v>213.53</v>
      </c>
      <c r="K12" s="2">
        <v>243.6</v>
      </c>
      <c r="L12" s="2"/>
    </row>
    <row r="13" spans="1:12">
      <c r="A13" s="1">
        <v>41664</v>
      </c>
      <c r="B13" s="14">
        <v>221.06</v>
      </c>
      <c r="C13" s="14">
        <v>213.4</v>
      </c>
      <c r="D13" s="2">
        <v>222.23</v>
      </c>
      <c r="E13" s="2">
        <v>194.9</v>
      </c>
      <c r="F13" s="13">
        <v>221.33</v>
      </c>
      <c r="G13" s="13">
        <v>205.9</v>
      </c>
      <c r="H13" s="14">
        <v>220.52</v>
      </c>
      <c r="I13" s="14">
        <v>227.9</v>
      </c>
      <c r="J13" s="2">
        <v>217.87</v>
      </c>
      <c r="K13" s="2">
        <v>173</v>
      </c>
      <c r="L13" s="2"/>
    </row>
    <row r="14" spans="1:12">
      <c r="A14" s="1">
        <v>41664</v>
      </c>
      <c r="B14" s="14">
        <v>213.33</v>
      </c>
      <c r="C14" s="14">
        <v>214.8</v>
      </c>
      <c r="D14">
        <v>213.2</v>
      </c>
      <c r="E14">
        <v>214.8</v>
      </c>
      <c r="F14" s="13">
        <v>213.68</v>
      </c>
      <c r="G14" s="13">
        <v>213.5</v>
      </c>
      <c r="H14" s="15">
        <v>214.21</v>
      </c>
      <c r="I14" s="15">
        <v>215.8</v>
      </c>
      <c r="J14">
        <v>212.88</v>
      </c>
      <c r="K14">
        <v>186.6</v>
      </c>
    </row>
    <row r="15" spans="1:12" ht="15" customHeight="1">
      <c r="A15" s="1">
        <v>41667</v>
      </c>
      <c r="B15" s="14">
        <v>222.08</v>
      </c>
      <c r="C15" s="14">
        <v>207.2</v>
      </c>
      <c r="D15">
        <v>220.99</v>
      </c>
      <c r="E15">
        <v>208.3</v>
      </c>
      <c r="F15" s="13">
        <v>223.57</v>
      </c>
      <c r="G15" s="13">
        <v>202</v>
      </c>
      <c r="H15" s="14">
        <v>224.09</v>
      </c>
      <c r="I15" s="14">
        <v>213.8</v>
      </c>
      <c r="J15">
        <v>225.3</v>
      </c>
      <c r="K15">
        <v>199.6</v>
      </c>
    </row>
    <row r="16" spans="1:12">
      <c r="A16" s="1">
        <v>41666</v>
      </c>
      <c r="B16" s="14">
        <v>215.25</v>
      </c>
      <c r="C16" s="14">
        <v>162.4</v>
      </c>
      <c r="D16">
        <v>215.11</v>
      </c>
      <c r="E16">
        <v>166.8</v>
      </c>
      <c r="F16" s="13">
        <v>215.53</v>
      </c>
      <c r="G16" s="13">
        <v>152.30000000000001</v>
      </c>
      <c r="H16" s="15">
        <v>214.09</v>
      </c>
      <c r="I16" s="15">
        <v>163.30000000000001</v>
      </c>
      <c r="J16">
        <v>213.46</v>
      </c>
      <c r="K16">
        <v>177.9</v>
      </c>
    </row>
    <row r="17" spans="1:11">
      <c r="A17" s="1">
        <v>41665</v>
      </c>
      <c r="B17" s="14">
        <v>197.97</v>
      </c>
      <c r="C17" s="14">
        <v>249.2</v>
      </c>
      <c r="D17">
        <v>194.03</v>
      </c>
      <c r="E17">
        <v>270</v>
      </c>
      <c r="F17" s="14">
        <v>197.97</v>
      </c>
      <c r="G17" s="14">
        <v>249.2</v>
      </c>
      <c r="H17">
        <v>196.54</v>
      </c>
      <c r="I17">
        <v>220.7</v>
      </c>
      <c r="J17">
        <v>196.54</v>
      </c>
      <c r="K17">
        <v>220.7</v>
      </c>
    </row>
    <row r="18" spans="1:11">
      <c r="A18" s="1">
        <v>41665</v>
      </c>
      <c r="B18" s="14">
        <v>201.61</v>
      </c>
      <c r="C18" s="14">
        <v>191.1</v>
      </c>
      <c r="D18">
        <v>201.95</v>
      </c>
      <c r="E18" s="14">
        <v>191.1</v>
      </c>
      <c r="F18" s="13">
        <v>201.97</v>
      </c>
      <c r="G18" s="14">
        <v>191.1</v>
      </c>
      <c r="H18">
        <v>203.34</v>
      </c>
      <c r="I18" s="14">
        <v>191.1</v>
      </c>
      <c r="J18">
        <v>201.49</v>
      </c>
      <c r="K18">
        <v>188.2</v>
      </c>
    </row>
    <row r="30" spans="1:11">
      <c r="B30">
        <f>AVERAGE(B3:B18)</f>
        <v>216.07187499999998</v>
      </c>
      <c r="C30">
        <f>AVERAGE(C3:C18)</f>
        <v>219.45625000000001</v>
      </c>
      <c r="D30">
        <f t="shared" ref="D30:K30" si="0">AVERAGE(D3:D13)</f>
        <v>217.37363636363636</v>
      </c>
      <c r="E30">
        <f t="shared" si="0"/>
        <v>212.4</v>
      </c>
      <c r="F30">
        <f>AVERAGE(F3:F16)</f>
        <v>219.10363636363638</v>
      </c>
      <c r="G30">
        <f>AVERAGE(G3:G16)</f>
        <v>214.80909090909097</v>
      </c>
      <c r="H30">
        <f>AVERAGE(H3:H16)</f>
        <v>219.30181818181819</v>
      </c>
      <c r="I30">
        <f>AVERAGE(I3:I16)</f>
        <v>221.55454545454549</v>
      </c>
      <c r="J30">
        <f t="shared" si="0"/>
        <v>218.00142857142859</v>
      </c>
      <c r="K30">
        <f t="shared" si="0"/>
        <v>227.31428571428569</v>
      </c>
    </row>
    <row r="31" spans="1:11">
      <c r="B31">
        <f>STDEV(B3:B18)</f>
        <v>8.535498594106846</v>
      </c>
      <c r="C31">
        <f>STDEV(C3:C18)</f>
        <v>31.880128999111687</v>
      </c>
      <c r="D31">
        <f t="shared" ref="D31:K31" si="1">STDEV(D3:D10)</f>
        <v>5.566716780498691</v>
      </c>
      <c r="E31">
        <f t="shared" si="1"/>
        <v>26.096329106928799</v>
      </c>
      <c r="F31">
        <f>STDEV(F3:F16)</f>
        <v>6.1411615720924839</v>
      </c>
      <c r="G31">
        <f>STDEV(G3:G16)</f>
        <v>33.703218082119108</v>
      </c>
      <c r="H31">
        <f t="shared" si="1"/>
        <v>7.936833751566172</v>
      </c>
      <c r="I31">
        <f t="shared" si="1"/>
        <v>33.237554061633368</v>
      </c>
      <c r="J31">
        <f t="shared" si="1"/>
        <v>9.3359555840131758</v>
      </c>
      <c r="K31">
        <f t="shared" si="1"/>
        <v>9.6131853895227284</v>
      </c>
    </row>
  </sheetData>
  <mergeCells count="5">
    <mergeCell ref="B1:C1"/>
    <mergeCell ref="D1:E1"/>
    <mergeCell ref="F1:G1"/>
    <mergeCell ref="H1:I1"/>
    <mergeCell ref="J1:K1"/>
  </mergeCells>
  <conditionalFormatting sqref="B30:K30">
    <cfRule type="colorScale" priority="1">
      <colorScale>
        <cfvo type="min"/>
        <cfvo type="percentile" val="50"/>
        <cfvo type="max"/>
        <color rgb="FFFF7128"/>
        <color rgb="FFFFEB84"/>
        <color rgb="FF63BE7B"/>
      </colorScale>
    </cfRule>
  </conditionalFormatting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W19"/>
  <sheetViews>
    <sheetView tabSelected="1" workbookViewId="0">
      <selection activeCell="A12" sqref="A12"/>
    </sheetView>
  </sheetViews>
  <sheetFormatPr baseColWidth="10" defaultRowHeight="15" x14ac:dyDescent="0"/>
  <cols>
    <col min="1" max="1" width="13.1640625" customWidth="1"/>
    <col min="2" max="2" width="5.33203125" customWidth="1"/>
    <col min="3" max="5" width="6.1640625" bestFit="1" customWidth="1"/>
    <col min="6" max="6" width="7.1640625" bestFit="1" customWidth="1"/>
    <col min="7" max="7" width="6.1640625" bestFit="1" customWidth="1"/>
    <col min="8" max="12" width="7.1640625" bestFit="1" customWidth="1"/>
    <col min="13" max="15" width="6.1640625" bestFit="1" customWidth="1"/>
  </cols>
  <sheetData>
    <row r="3" spans="1:23">
      <c r="A3" s="16" t="s">
        <v>21</v>
      </c>
      <c r="V3">
        <v>150</v>
      </c>
      <c r="W3">
        <f>_xlfn.NORM.DIST(V3,Sheet4!$J$2,Sheet4!$J$3,FALSE)</f>
        <v>1.3191266484266163E-3</v>
      </c>
    </row>
    <row r="4" spans="1:23">
      <c r="A4" s="16" t="s">
        <v>9</v>
      </c>
      <c r="B4" t="s">
        <v>11</v>
      </c>
      <c r="V4">
        <v>160</v>
      </c>
      <c r="W4">
        <f>_xlfn.NORM.DIST(V4,Sheet4!$J$2,Sheet4!$J$3,FALSE)</f>
        <v>2.4859306893578424E-3</v>
      </c>
    </row>
    <row r="5" spans="1:23">
      <c r="A5" s="17">
        <v>150</v>
      </c>
      <c r="B5" s="18">
        <v>1</v>
      </c>
      <c r="V5">
        <v>170</v>
      </c>
      <c r="W5">
        <f>_xlfn.NORM.DIST(V5,Sheet4!$J$2,Sheet4!$J$3,FALSE)</f>
        <v>4.225175141815243E-3</v>
      </c>
    </row>
    <row r="6" spans="1:23">
      <c r="A6" s="17">
        <v>160</v>
      </c>
      <c r="B6" s="18">
        <v>2</v>
      </c>
      <c r="V6">
        <v>180</v>
      </c>
      <c r="W6">
        <f>_xlfn.NORM.DIST(V6,Sheet4!$J$2,Sheet4!$J$3,FALSE)</f>
        <v>6.4766972164444301E-3</v>
      </c>
    </row>
    <row r="7" spans="1:23">
      <c r="A7" s="17">
        <v>170</v>
      </c>
      <c r="B7" s="18">
        <v>9</v>
      </c>
      <c r="V7">
        <v>190</v>
      </c>
      <c r="W7">
        <f>_xlfn.NORM.DIST(V7,Sheet4!$J$2,Sheet4!$J$3,FALSE)</f>
        <v>8.9539703302276355E-3</v>
      </c>
    </row>
    <row r="8" spans="1:23">
      <c r="A8" s="17">
        <v>180</v>
      </c>
      <c r="B8" s="18">
        <v>5</v>
      </c>
      <c r="V8">
        <v>200</v>
      </c>
      <c r="W8">
        <f>_xlfn.NORM.DIST(V8,Sheet4!$J$2,Sheet4!$J$3,FALSE)</f>
        <v>1.1164284259627054E-2</v>
      </c>
    </row>
    <row r="9" spans="1:23">
      <c r="A9" s="17">
        <v>190</v>
      </c>
      <c r="B9" s="18">
        <v>15</v>
      </c>
      <c r="V9">
        <v>210</v>
      </c>
      <c r="W9">
        <f>_xlfn.NORM.DIST(V9,Sheet4!$J$2,Sheet4!$J$3,FALSE)</f>
        <v>1.2554496464711684E-2</v>
      </c>
    </row>
    <row r="10" spans="1:23">
      <c r="A10" s="17">
        <v>200</v>
      </c>
      <c r="B10" s="18">
        <v>2</v>
      </c>
      <c r="V10">
        <v>220</v>
      </c>
      <c r="W10">
        <f>_xlfn.NORM.DIST(V10,Sheet4!$J$2,Sheet4!$J$3,FALSE)</f>
        <v>1.2732711237242653E-2</v>
      </c>
    </row>
    <row r="11" spans="1:23">
      <c r="A11" s="17">
        <v>210</v>
      </c>
      <c r="B11" s="18">
        <v>18</v>
      </c>
      <c r="V11">
        <v>230</v>
      </c>
      <c r="W11">
        <f>_xlfn.NORM.DIST(V11,Sheet4!$J$2,Sheet4!$J$3,FALSE)</f>
        <v>1.1646506121258945E-2</v>
      </c>
    </row>
    <row r="12" spans="1:23">
      <c r="A12" s="17">
        <v>220</v>
      </c>
      <c r="B12" s="18">
        <v>9</v>
      </c>
      <c r="V12">
        <v>240</v>
      </c>
      <c r="W12">
        <f>_xlfn.NORM.DIST(V12,Sheet4!$J$2,Sheet4!$J$3,FALSE)</f>
        <v>9.607792319486835E-3</v>
      </c>
    </row>
    <row r="13" spans="1:23">
      <c r="A13" s="17">
        <v>230</v>
      </c>
      <c r="B13" s="18">
        <v>9</v>
      </c>
      <c r="V13">
        <v>250</v>
      </c>
      <c r="W13">
        <f>_xlfn.NORM.DIST(V13,Sheet4!$J$2,Sheet4!$J$3,FALSE)</f>
        <v>7.1483322926474855E-3</v>
      </c>
    </row>
    <row r="14" spans="1:23">
      <c r="A14" s="17">
        <v>240</v>
      </c>
      <c r="B14" s="18">
        <v>7</v>
      </c>
      <c r="V14">
        <v>260</v>
      </c>
      <c r="W14">
        <f>_xlfn.NORM.DIST(V14,Sheet4!$J$2,Sheet4!$J$3,FALSE)</f>
        <v>4.7966611154132387E-3</v>
      </c>
    </row>
    <row r="15" spans="1:23">
      <c r="A15" s="17">
        <v>250</v>
      </c>
      <c r="B15" s="18">
        <v>13</v>
      </c>
      <c r="V15">
        <v>270</v>
      </c>
      <c r="W15">
        <f>_xlfn.NORM.DIST(V15,Sheet4!$J$2,Sheet4!$J$3,FALSE)</f>
        <v>2.9028628589170603E-3</v>
      </c>
    </row>
    <row r="16" spans="1:23">
      <c r="A16" s="17">
        <v>260</v>
      </c>
      <c r="B16" s="18">
        <v>3</v>
      </c>
      <c r="V16">
        <v>280</v>
      </c>
      <c r="W16">
        <f>_xlfn.NORM.DIST(V16,Sheet4!$J$2,Sheet4!$J$3,FALSE)</f>
        <v>1.5844085565882061E-3</v>
      </c>
    </row>
    <row r="17" spans="1:2">
      <c r="A17" s="17">
        <v>270</v>
      </c>
      <c r="B17" s="18">
        <v>5</v>
      </c>
    </row>
    <row r="18" spans="1:2">
      <c r="A18" s="17">
        <v>280</v>
      </c>
      <c r="B18" s="18">
        <v>2</v>
      </c>
    </row>
    <row r="19" spans="1:2">
      <c r="A19" s="17" t="s">
        <v>10</v>
      </c>
      <c r="B19" s="18">
        <v>100</v>
      </c>
    </row>
  </sheetData>
  <pageMargins left="0.75" right="0.75" top="1" bottom="1" header="0.5" footer="0.5"/>
  <drawing r:id="rId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0"/>
  <sheetViews>
    <sheetView workbookViewId="0">
      <selection activeCell="J4" sqref="J4"/>
    </sheetView>
  </sheetViews>
  <sheetFormatPr baseColWidth="10" defaultRowHeight="15" x14ac:dyDescent="0"/>
  <cols>
    <col min="7" max="7" width="24.6640625" bestFit="1" customWidth="1"/>
    <col min="11" max="11" width="12.1640625" bestFit="1" customWidth="1"/>
  </cols>
  <sheetData>
    <row r="1" spans="1:10">
      <c r="A1" s="19" t="s">
        <v>17</v>
      </c>
      <c r="B1" s="19" t="s">
        <v>18</v>
      </c>
      <c r="C1" s="19" t="s">
        <v>14</v>
      </c>
      <c r="D1" s="19" t="s">
        <v>15</v>
      </c>
      <c r="E1" s="19" t="s">
        <v>16</v>
      </c>
      <c r="F1" s="19" t="s">
        <v>8</v>
      </c>
      <c r="G1" s="19" t="s">
        <v>22</v>
      </c>
    </row>
    <row r="2" spans="1:10" ht="18">
      <c r="A2" s="21">
        <v>42019</v>
      </c>
      <c r="B2" s="19">
        <v>235.4</v>
      </c>
      <c r="C2" s="20" t="s">
        <v>12</v>
      </c>
      <c r="D2" s="20">
        <v>0</v>
      </c>
      <c r="E2" s="19" t="s">
        <v>13</v>
      </c>
      <c r="F2">
        <f>ROUND(B2/10,0)*10</f>
        <v>240</v>
      </c>
      <c r="I2">
        <v>0</v>
      </c>
      <c r="J2">
        <f>AVERAGE(B:B)</f>
        <v>216.36500000000004</v>
      </c>
    </row>
    <row r="3" spans="1:10" ht="18">
      <c r="A3" s="21">
        <v>42020</v>
      </c>
      <c r="B3" s="19">
        <v>170.9</v>
      </c>
      <c r="C3" s="20" t="s">
        <v>12</v>
      </c>
      <c r="D3" s="20">
        <v>0</v>
      </c>
      <c r="E3" s="19" t="s">
        <v>13</v>
      </c>
      <c r="F3">
        <f t="shared" ref="F3:F66" si="0">ROUND(B3/10,0)*10</f>
        <v>170</v>
      </c>
      <c r="I3">
        <v>0</v>
      </c>
      <c r="J3">
        <f>_xlfn.STDEV.S(B:B)</f>
        <v>31.119049266851356</v>
      </c>
    </row>
    <row r="4" spans="1:10" ht="18">
      <c r="A4" s="21">
        <v>42020</v>
      </c>
      <c r="B4" s="19">
        <v>219.7</v>
      </c>
      <c r="C4" s="20" t="s">
        <v>12</v>
      </c>
      <c r="D4" s="20">
        <v>0</v>
      </c>
      <c r="E4" s="19" t="s">
        <v>13</v>
      </c>
      <c r="F4">
        <f t="shared" si="0"/>
        <v>220</v>
      </c>
      <c r="I4">
        <v>0</v>
      </c>
    </row>
    <row r="5" spans="1:10" ht="18">
      <c r="A5" s="21">
        <v>42021</v>
      </c>
      <c r="B5" s="19">
        <v>240.4</v>
      </c>
      <c r="C5" s="20" t="s">
        <v>12</v>
      </c>
      <c r="D5" s="20">
        <v>0</v>
      </c>
      <c r="E5" s="19" t="s">
        <v>13</v>
      </c>
      <c r="F5">
        <f t="shared" si="0"/>
        <v>240</v>
      </c>
      <c r="I5">
        <v>0</v>
      </c>
    </row>
    <row r="6" spans="1:10" ht="18">
      <c r="A6" s="21">
        <v>42022</v>
      </c>
      <c r="B6" s="19">
        <v>206.4</v>
      </c>
      <c r="C6" s="20" t="s">
        <v>12</v>
      </c>
      <c r="D6" s="20">
        <v>0</v>
      </c>
      <c r="E6" s="19" t="s">
        <v>13</v>
      </c>
      <c r="F6">
        <f t="shared" si="0"/>
        <v>210</v>
      </c>
      <c r="I6">
        <v>0</v>
      </c>
    </row>
    <row r="7" spans="1:10" ht="18">
      <c r="A7" s="21">
        <v>42023</v>
      </c>
      <c r="B7" s="19">
        <v>256.2</v>
      </c>
      <c r="C7" s="20" t="s">
        <v>12</v>
      </c>
      <c r="D7" s="20">
        <v>0</v>
      </c>
      <c r="E7" s="19" t="s">
        <v>13</v>
      </c>
      <c r="F7">
        <f t="shared" si="0"/>
        <v>260</v>
      </c>
      <c r="I7">
        <v>0</v>
      </c>
    </row>
    <row r="8" spans="1:10" ht="18">
      <c r="A8" s="21">
        <v>42024</v>
      </c>
      <c r="B8" s="19">
        <v>225.5</v>
      </c>
      <c r="C8" s="20" t="s">
        <v>12</v>
      </c>
      <c r="D8" s="20">
        <v>0</v>
      </c>
      <c r="E8" s="19" t="s">
        <v>13</v>
      </c>
      <c r="F8">
        <f t="shared" si="0"/>
        <v>230</v>
      </c>
      <c r="I8">
        <v>0</v>
      </c>
    </row>
    <row r="9" spans="1:10" ht="18">
      <c r="A9" s="21">
        <v>42024</v>
      </c>
      <c r="B9" s="19">
        <v>247.5</v>
      </c>
      <c r="C9" s="20" t="s">
        <v>12</v>
      </c>
      <c r="D9" s="20">
        <v>0</v>
      </c>
      <c r="E9" s="19" t="s">
        <v>13</v>
      </c>
      <c r="F9">
        <f t="shared" si="0"/>
        <v>250</v>
      </c>
      <c r="I9">
        <v>0</v>
      </c>
    </row>
    <row r="10" spans="1:10" ht="18">
      <c r="A10" s="21">
        <v>42026</v>
      </c>
      <c r="B10" s="19">
        <v>189.9</v>
      </c>
      <c r="C10" s="20" t="s">
        <v>12</v>
      </c>
      <c r="D10" s="20">
        <v>0</v>
      </c>
      <c r="E10" s="19" t="s">
        <v>13</v>
      </c>
      <c r="F10">
        <f t="shared" si="0"/>
        <v>190</v>
      </c>
      <c r="I10">
        <v>0</v>
      </c>
    </row>
    <row r="11" spans="1:10" ht="18">
      <c r="A11" s="21">
        <v>42027</v>
      </c>
      <c r="B11" s="19">
        <v>281.3</v>
      </c>
      <c r="C11" s="20" t="s">
        <v>12</v>
      </c>
      <c r="D11" s="20">
        <v>0</v>
      </c>
      <c r="E11" s="19" t="s">
        <v>13</v>
      </c>
      <c r="F11">
        <f t="shared" si="0"/>
        <v>280</v>
      </c>
      <c r="I11">
        <v>0</v>
      </c>
    </row>
    <row r="12" spans="1:10" ht="18">
      <c r="A12" s="21">
        <v>41664</v>
      </c>
      <c r="B12" s="19">
        <v>213.4</v>
      </c>
      <c r="C12" s="20" t="s">
        <v>12</v>
      </c>
      <c r="D12" s="20">
        <v>0</v>
      </c>
      <c r="E12" s="19" t="s">
        <v>13</v>
      </c>
      <c r="F12">
        <f t="shared" si="0"/>
        <v>210</v>
      </c>
      <c r="I12">
        <v>0</v>
      </c>
    </row>
    <row r="13" spans="1:10" ht="18">
      <c r="A13" s="21">
        <v>41664</v>
      </c>
      <c r="B13" s="19">
        <v>214.8</v>
      </c>
      <c r="C13" s="20" t="s">
        <v>12</v>
      </c>
      <c r="D13" s="20">
        <v>0</v>
      </c>
      <c r="E13" s="19" t="s">
        <v>13</v>
      </c>
      <c r="F13">
        <f t="shared" si="0"/>
        <v>210</v>
      </c>
      <c r="I13">
        <v>0</v>
      </c>
    </row>
    <row r="14" spans="1:10" ht="18">
      <c r="A14" s="21">
        <v>41667</v>
      </c>
      <c r="B14" s="19">
        <v>207.2</v>
      </c>
      <c r="C14" s="20" t="s">
        <v>12</v>
      </c>
      <c r="D14" s="20">
        <v>0</v>
      </c>
      <c r="E14" s="19" t="s">
        <v>13</v>
      </c>
      <c r="F14">
        <f t="shared" si="0"/>
        <v>210</v>
      </c>
      <c r="I14">
        <v>0</v>
      </c>
    </row>
    <row r="15" spans="1:10" ht="18">
      <c r="A15" s="21">
        <v>41666</v>
      </c>
      <c r="B15" s="19">
        <v>162.4</v>
      </c>
      <c r="C15" s="20" t="s">
        <v>12</v>
      </c>
      <c r="D15" s="20">
        <v>0</v>
      </c>
      <c r="E15" s="19" t="s">
        <v>13</v>
      </c>
      <c r="F15">
        <f t="shared" si="0"/>
        <v>160</v>
      </c>
      <c r="I15">
        <v>0</v>
      </c>
    </row>
    <row r="16" spans="1:10" ht="18">
      <c r="A16" s="21">
        <v>41665</v>
      </c>
      <c r="B16" s="19">
        <v>249.2</v>
      </c>
      <c r="C16" s="20" t="s">
        <v>12</v>
      </c>
      <c r="D16" s="20">
        <v>0</v>
      </c>
      <c r="E16" s="19" t="s">
        <v>13</v>
      </c>
      <c r="F16">
        <f t="shared" si="0"/>
        <v>250</v>
      </c>
      <c r="I16">
        <v>0</v>
      </c>
    </row>
    <row r="17" spans="1:9" ht="18">
      <c r="A17" s="21">
        <v>41665</v>
      </c>
      <c r="B17" s="19">
        <v>191.1</v>
      </c>
      <c r="C17" s="20" t="s">
        <v>12</v>
      </c>
      <c r="D17" s="20">
        <v>0</v>
      </c>
      <c r="E17" s="19" t="s">
        <v>13</v>
      </c>
      <c r="F17">
        <f t="shared" si="0"/>
        <v>190</v>
      </c>
      <c r="I17">
        <v>0</v>
      </c>
    </row>
    <row r="18" spans="1:9" ht="18">
      <c r="A18" s="21">
        <v>42019</v>
      </c>
      <c r="B18" s="19">
        <v>230</v>
      </c>
      <c r="C18" s="20" t="s">
        <v>12</v>
      </c>
      <c r="D18" s="20">
        <v>8</v>
      </c>
      <c r="E18" s="19" t="s">
        <v>13</v>
      </c>
      <c r="F18">
        <f t="shared" si="0"/>
        <v>230</v>
      </c>
      <c r="I18">
        <v>0</v>
      </c>
    </row>
    <row r="19" spans="1:9" ht="18">
      <c r="A19" s="21">
        <v>42020</v>
      </c>
      <c r="B19" s="19">
        <v>172.8</v>
      </c>
      <c r="C19" s="20" t="s">
        <v>12</v>
      </c>
      <c r="D19" s="20">
        <v>8</v>
      </c>
      <c r="E19" s="19" t="s">
        <v>13</v>
      </c>
      <c r="F19">
        <f t="shared" si="0"/>
        <v>170</v>
      </c>
      <c r="I19">
        <v>0</v>
      </c>
    </row>
    <row r="20" spans="1:9" ht="18">
      <c r="A20" s="21">
        <v>42020</v>
      </c>
      <c r="B20" s="19">
        <v>219.7</v>
      </c>
      <c r="C20" s="20" t="s">
        <v>12</v>
      </c>
      <c r="D20" s="20">
        <v>8</v>
      </c>
      <c r="E20" s="19" t="s">
        <v>13</v>
      </c>
      <c r="F20">
        <f t="shared" si="0"/>
        <v>220</v>
      </c>
      <c r="I20">
        <v>0</v>
      </c>
    </row>
    <row r="21" spans="1:9" ht="18">
      <c r="A21" s="21">
        <v>42021</v>
      </c>
      <c r="B21" s="19">
        <v>192.3</v>
      </c>
      <c r="C21" s="20" t="s">
        <v>12</v>
      </c>
      <c r="D21" s="20">
        <v>8</v>
      </c>
      <c r="E21" s="19" t="s">
        <v>13</v>
      </c>
      <c r="F21">
        <f t="shared" si="0"/>
        <v>190</v>
      </c>
      <c r="I21">
        <v>0</v>
      </c>
    </row>
    <row r="22" spans="1:9" ht="18">
      <c r="A22" s="21">
        <v>42022</v>
      </c>
      <c r="B22" s="19">
        <v>206.4</v>
      </c>
      <c r="C22" s="20" t="s">
        <v>12</v>
      </c>
      <c r="D22" s="20">
        <v>8</v>
      </c>
      <c r="E22" s="19" t="s">
        <v>13</v>
      </c>
      <c r="F22">
        <f t="shared" si="0"/>
        <v>210</v>
      </c>
      <c r="I22">
        <v>0</v>
      </c>
    </row>
    <row r="23" spans="1:9" ht="18">
      <c r="A23" s="21">
        <v>42023</v>
      </c>
      <c r="B23" s="19">
        <v>258.7</v>
      </c>
      <c r="C23" s="20" t="s">
        <v>12</v>
      </c>
      <c r="D23" s="20">
        <v>8</v>
      </c>
      <c r="E23" s="19" t="s">
        <v>13</v>
      </c>
      <c r="F23">
        <f t="shared" si="0"/>
        <v>260</v>
      </c>
      <c r="I23">
        <v>0</v>
      </c>
    </row>
    <row r="24" spans="1:9" ht="18">
      <c r="A24" s="21">
        <v>42024</v>
      </c>
      <c r="B24" s="19">
        <v>226.9</v>
      </c>
      <c r="C24" s="20" t="s">
        <v>12</v>
      </c>
      <c r="D24" s="20">
        <v>8</v>
      </c>
      <c r="E24" s="19" t="s">
        <v>13</v>
      </c>
      <c r="F24">
        <f t="shared" si="0"/>
        <v>230</v>
      </c>
      <c r="I24">
        <v>0</v>
      </c>
    </row>
    <row r="25" spans="1:9" ht="18">
      <c r="A25" s="21">
        <v>42024</v>
      </c>
      <c r="B25" s="19">
        <v>225.9</v>
      </c>
      <c r="C25" s="20" t="s">
        <v>12</v>
      </c>
      <c r="D25" s="20">
        <v>8</v>
      </c>
      <c r="E25" s="19" t="s">
        <v>13</v>
      </c>
      <c r="F25">
        <f t="shared" si="0"/>
        <v>230</v>
      </c>
      <c r="I25">
        <v>0</v>
      </c>
    </row>
    <row r="26" spans="1:9" ht="18">
      <c r="A26" s="21">
        <v>42026</v>
      </c>
      <c r="B26" s="19">
        <v>177</v>
      </c>
      <c r="C26" s="20" t="s">
        <v>12</v>
      </c>
      <c r="D26" s="20">
        <v>8</v>
      </c>
      <c r="E26" s="19" t="s">
        <v>13</v>
      </c>
      <c r="F26">
        <f t="shared" si="0"/>
        <v>180</v>
      </c>
      <c r="I26">
        <v>0</v>
      </c>
    </row>
    <row r="27" spans="1:9" ht="18">
      <c r="A27" s="21">
        <v>42027</v>
      </c>
      <c r="B27" s="19">
        <v>231.8</v>
      </c>
      <c r="C27" s="20" t="s">
        <v>12</v>
      </c>
      <c r="D27" s="20">
        <v>8</v>
      </c>
      <c r="E27" s="19" t="s">
        <v>13</v>
      </c>
      <c r="F27">
        <f t="shared" si="0"/>
        <v>230</v>
      </c>
      <c r="I27">
        <v>0</v>
      </c>
    </row>
    <row r="28" spans="1:9" ht="18">
      <c r="A28" s="21">
        <v>41664</v>
      </c>
      <c r="B28" s="19">
        <v>194.9</v>
      </c>
      <c r="C28" s="20" t="s">
        <v>12</v>
      </c>
      <c r="D28" s="20">
        <v>8</v>
      </c>
      <c r="E28" s="19" t="s">
        <v>13</v>
      </c>
      <c r="F28">
        <f t="shared" si="0"/>
        <v>190</v>
      </c>
      <c r="I28">
        <v>0</v>
      </c>
    </row>
    <row r="29" spans="1:9" ht="18">
      <c r="A29" s="21">
        <v>41664</v>
      </c>
      <c r="B29" s="19">
        <v>214.8</v>
      </c>
      <c r="C29" s="20" t="s">
        <v>12</v>
      </c>
      <c r="D29" s="20">
        <v>8</v>
      </c>
      <c r="E29" s="19" t="s">
        <v>13</v>
      </c>
      <c r="F29">
        <f t="shared" si="0"/>
        <v>210</v>
      </c>
      <c r="I29">
        <v>0</v>
      </c>
    </row>
    <row r="30" spans="1:9" ht="18">
      <c r="A30" s="21">
        <v>41667</v>
      </c>
      <c r="B30" s="19">
        <v>208.3</v>
      </c>
      <c r="C30" s="20" t="s">
        <v>12</v>
      </c>
      <c r="D30" s="20">
        <v>8</v>
      </c>
      <c r="E30" s="19" t="s">
        <v>13</v>
      </c>
      <c r="F30">
        <f t="shared" si="0"/>
        <v>210</v>
      </c>
      <c r="I30">
        <v>8</v>
      </c>
    </row>
    <row r="31" spans="1:9" ht="18">
      <c r="A31" s="21">
        <v>41666</v>
      </c>
      <c r="B31" s="19">
        <v>166.8</v>
      </c>
      <c r="C31" s="20" t="s">
        <v>12</v>
      </c>
      <c r="D31" s="20">
        <v>8</v>
      </c>
      <c r="E31" s="19" t="s">
        <v>13</v>
      </c>
      <c r="F31">
        <f t="shared" si="0"/>
        <v>170</v>
      </c>
      <c r="I31">
        <v>0</v>
      </c>
    </row>
    <row r="32" spans="1:9" ht="18">
      <c r="A32" s="21">
        <v>41665</v>
      </c>
      <c r="B32" s="19">
        <v>270</v>
      </c>
      <c r="C32" s="20" t="s">
        <v>12</v>
      </c>
      <c r="D32" s="20">
        <v>8</v>
      </c>
      <c r="E32" s="19" t="s">
        <v>13</v>
      </c>
      <c r="F32">
        <f t="shared" si="0"/>
        <v>270</v>
      </c>
      <c r="I32">
        <v>0</v>
      </c>
    </row>
    <row r="33" spans="1:9" ht="18">
      <c r="A33" s="21">
        <v>41665</v>
      </c>
      <c r="B33" s="19">
        <v>191.1</v>
      </c>
      <c r="C33" s="20" t="s">
        <v>12</v>
      </c>
      <c r="D33" s="20">
        <v>8</v>
      </c>
      <c r="E33" s="19" t="s">
        <v>13</v>
      </c>
      <c r="F33">
        <f t="shared" si="0"/>
        <v>190</v>
      </c>
      <c r="I33">
        <v>0</v>
      </c>
    </row>
    <row r="34" spans="1:9" ht="18">
      <c r="A34" s="21">
        <v>42021</v>
      </c>
      <c r="B34" s="19">
        <v>192.3</v>
      </c>
      <c r="C34" s="20" t="s">
        <v>12</v>
      </c>
      <c r="D34" s="20">
        <v>0</v>
      </c>
      <c r="E34" s="19" t="s">
        <v>19</v>
      </c>
      <c r="F34">
        <f t="shared" si="0"/>
        <v>190</v>
      </c>
      <c r="I34">
        <v>0</v>
      </c>
    </row>
    <row r="35" spans="1:9" ht="18">
      <c r="A35" s="21">
        <v>42022</v>
      </c>
      <c r="B35" s="19">
        <v>206.4</v>
      </c>
      <c r="C35" s="20" t="s">
        <v>12</v>
      </c>
      <c r="D35" s="20">
        <v>0</v>
      </c>
      <c r="E35" s="19" t="s">
        <v>19</v>
      </c>
      <c r="F35">
        <f t="shared" si="0"/>
        <v>210</v>
      </c>
      <c r="I35">
        <v>0</v>
      </c>
    </row>
    <row r="36" spans="1:9" ht="18">
      <c r="A36" s="21">
        <v>42023</v>
      </c>
      <c r="B36" s="19">
        <v>253.8</v>
      </c>
      <c r="C36" s="20" t="s">
        <v>12</v>
      </c>
      <c r="D36" s="20">
        <v>0</v>
      </c>
      <c r="E36" s="19" t="s">
        <v>19</v>
      </c>
      <c r="F36">
        <f t="shared" si="0"/>
        <v>250</v>
      </c>
      <c r="I36">
        <v>0</v>
      </c>
    </row>
    <row r="37" spans="1:9" ht="18">
      <c r="A37" s="21">
        <v>42024</v>
      </c>
      <c r="B37" s="19">
        <v>226.9</v>
      </c>
      <c r="C37" s="20" t="s">
        <v>12</v>
      </c>
      <c r="D37" s="20">
        <v>0</v>
      </c>
      <c r="E37" s="19" t="s">
        <v>19</v>
      </c>
      <c r="F37">
        <f t="shared" si="0"/>
        <v>230</v>
      </c>
      <c r="I37">
        <v>0</v>
      </c>
    </row>
    <row r="38" spans="1:9" ht="18">
      <c r="A38" s="21">
        <v>42024</v>
      </c>
      <c r="B38" s="19">
        <v>248.4</v>
      </c>
      <c r="C38" s="20" t="s">
        <v>12</v>
      </c>
      <c r="D38" s="20">
        <v>0</v>
      </c>
      <c r="E38" s="19" t="s">
        <v>19</v>
      </c>
      <c r="F38">
        <f t="shared" si="0"/>
        <v>250</v>
      </c>
      <c r="I38">
        <v>0</v>
      </c>
    </row>
    <row r="39" spans="1:9" ht="18">
      <c r="A39" s="21">
        <v>42026</v>
      </c>
      <c r="B39" s="19">
        <v>189.9</v>
      </c>
      <c r="C39" s="20" t="s">
        <v>12</v>
      </c>
      <c r="D39" s="20">
        <v>0</v>
      </c>
      <c r="E39" s="19" t="s">
        <v>19</v>
      </c>
      <c r="F39">
        <f t="shared" si="0"/>
        <v>190</v>
      </c>
      <c r="I39">
        <v>0</v>
      </c>
    </row>
    <row r="40" spans="1:9" ht="18">
      <c r="A40" s="21">
        <v>42027</v>
      </c>
      <c r="B40" s="19">
        <v>271.5</v>
      </c>
      <c r="C40" s="20" t="s">
        <v>12</v>
      </c>
      <c r="D40" s="20">
        <v>0</v>
      </c>
      <c r="E40" s="19" t="s">
        <v>19</v>
      </c>
      <c r="F40">
        <f t="shared" si="0"/>
        <v>270</v>
      </c>
      <c r="I40">
        <v>0</v>
      </c>
    </row>
    <row r="41" spans="1:9" ht="18">
      <c r="A41" s="21">
        <v>41664</v>
      </c>
      <c r="B41" s="19">
        <v>205.9</v>
      </c>
      <c r="C41" s="20" t="s">
        <v>12</v>
      </c>
      <c r="D41" s="20">
        <v>0</v>
      </c>
      <c r="E41" s="19" t="s">
        <v>19</v>
      </c>
      <c r="F41">
        <f t="shared" si="0"/>
        <v>210</v>
      </c>
      <c r="I41">
        <v>0</v>
      </c>
    </row>
    <row r="42" spans="1:9" ht="18">
      <c r="A42" s="21">
        <v>41664</v>
      </c>
      <c r="B42" s="19">
        <v>213.5</v>
      </c>
      <c r="C42" s="20" t="s">
        <v>12</v>
      </c>
      <c r="D42" s="20">
        <v>0</v>
      </c>
      <c r="E42" s="19" t="s">
        <v>19</v>
      </c>
      <c r="F42">
        <f t="shared" si="0"/>
        <v>210</v>
      </c>
      <c r="I42">
        <v>0</v>
      </c>
    </row>
    <row r="43" spans="1:9" ht="18">
      <c r="A43" s="21">
        <v>41667</v>
      </c>
      <c r="B43" s="19">
        <v>202</v>
      </c>
      <c r="C43" s="20" t="s">
        <v>12</v>
      </c>
      <c r="D43" s="20">
        <v>0</v>
      </c>
      <c r="E43" s="19" t="s">
        <v>19</v>
      </c>
      <c r="F43">
        <f t="shared" si="0"/>
        <v>200</v>
      </c>
      <c r="I43">
        <v>0</v>
      </c>
    </row>
    <row r="44" spans="1:9" ht="18">
      <c r="A44" s="21">
        <v>41666</v>
      </c>
      <c r="B44" s="19">
        <v>152.30000000000001</v>
      </c>
      <c r="C44" s="20" t="s">
        <v>12</v>
      </c>
      <c r="D44" s="20">
        <v>0</v>
      </c>
      <c r="E44" s="19" t="s">
        <v>19</v>
      </c>
      <c r="F44">
        <f t="shared" si="0"/>
        <v>150</v>
      </c>
      <c r="I44">
        <v>0</v>
      </c>
    </row>
    <row r="45" spans="1:9" ht="18">
      <c r="A45" s="21">
        <v>41665</v>
      </c>
      <c r="B45" s="19">
        <v>249.2</v>
      </c>
      <c r="C45" s="20" t="s">
        <v>12</v>
      </c>
      <c r="D45" s="20">
        <v>0</v>
      </c>
      <c r="E45" s="19" t="s">
        <v>19</v>
      </c>
      <c r="F45">
        <f t="shared" si="0"/>
        <v>250</v>
      </c>
      <c r="I45">
        <v>0</v>
      </c>
    </row>
    <row r="46" spans="1:9" ht="18">
      <c r="A46" s="21">
        <v>41665</v>
      </c>
      <c r="B46" s="19">
        <v>191.1</v>
      </c>
      <c r="C46" s="20" t="s">
        <v>12</v>
      </c>
      <c r="D46" s="20">
        <v>0</v>
      </c>
      <c r="E46" s="19" t="s">
        <v>19</v>
      </c>
      <c r="F46">
        <f t="shared" si="0"/>
        <v>190</v>
      </c>
      <c r="I46">
        <v>0</v>
      </c>
    </row>
    <row r="47" spans="1:9" ht="18">
      <c r="A47" s="21">
        <v>42021</v>
      </c>
      <c r="B47" s="19">
        <v>192.3</v>
      </c>
      <c r="C47" s="20" t="s">
        <v>12</v>
      </c>
      <c r="D47" s="20">
        <v>8</v>
      </c>
      <c r="E47" s="19" t="s">
        <v>19</v>
      </c>
      <c r="F47">
        <f t="shared" si="0"/>
        <v>190</v>
      </c>
      <c r="I47">
        <v>0</v>
      </c>
    </row>
    <row r="48" spans="1:9" ht="18">
      <c r="A48" s="21">
        <v>42022</v>
      </c>
      <c r="B48" s="19">
        <v>206.4</v>
      </c>
      <c r="C48" s="20" t="s">
        <v>12</v>
      </c>
      <c r="D48" s="20">
        <v>8</v>
      </c>
      <c r="E48" s="19" t="s">
        <v>19</v>
      </c>
      <c r="F48">
        <f t="shared" si="0"/>
        <v>210</v>
      </c>
      <c r="I48">
        <v>0</v>
      </c>
    </row>
    <row r="49" spans="1:9" ht="18">
      <c r="A49" s="21">
        <v>42023</v>
      </c>
      <c r="B49" s="19">
        <v>275.2</v>
      </c>
      <c r="C49" s="20" t="s">
        <v>12</v>
      </c>
      <c r="D49" s="20">
        <v>8</v>
      </c>
      <c r="E49" s="19" t="s">
        <v>19</v>
      </c>
      <c r="F49">
        <f t="shared" si="0"/>
        <v>280</v>
      </c>
      <c r="I49">
        <v>0</v>
      </c>
    </row>
    <row r="50" spans="1:9" ht="18">
      <c r="A50" s="21">
        <v>42024</v>
      </c>
      <c r="B50" s="19">
        <v>226.9</v>
      </c>
      <c r="C50" s="20" t="s">
        <v>12</v>
      </c>
      <c r="D50" s="20">
        <v>8</v>
      </c>
      <c r="E50" s="19" t="s">
        <v>19</v>
      </c>
      <c r="F50">
        <f t="shared" si="0"/>
        <v>230</v>
      </c>
      <c r="I50">
        <v>0</v>
      </c>
    </row>
    <row r="51" spans="1:9" ht="18">
      <c r="A51" s="21">
        <v>42024</v>
      </c>
      <c r="B51" s="19">
        <v>249.7</v>
      </c>
      <c r="C51" s="20" t="s">
        <v>12</v>
      </c>
      <c r="D51" s="20">
        <v>8</v>
      </c>
      <c r="E51" s="19" t="s">
        <v>19</v>
      </c>
      <c r="F51">
        <f t="shared" si="0"/>
        <v>250</v>
      </c>
      <c r="I51">
        <v>0</v>
      </c>
    </row>
    <row r="52" spans="1:9" ht="18">
      <c r="A52" s="21">
        <v>42026</v>
      </c>
      <c r="B52" s="19">
        <v>213.8</v>
      </c>
      <c r="C52" s="20" t="s">
        <v>12</v>
      </c>
      <c r="D52" s="20">
        <v>8</v>
      </c>
      <c r="E52" s="19" t="s">
        <v>19</v>
      </c>
      <c r="F52">
        <f t="shared" si="0"/>
        <v>210</v>
      </c>
      <c r="I52">
        <v>0</v>
      </c>
    </row>
    <row r="53" spans="1:9" ht="18">
      <c r="A53" s="21">
        <v>42027</v>
      </c>
      <c r="B53" s="19">
        <v>252</v>
      </c>
      <c r="C53" s="20" t="s">
        <v>12</v>
      </c>
      <c r="D53" s="20">
        <v>8</v>
      </c>
      <c r="E53" s="19" t="s">
        <v>19</v>
      </c>
      <c r="F53">
        <f t="shared" si="0"/>
        <v>250</v>
      </c>
      <c r="I53">
        <v>0</v>
      </c>
    </row>
    <row r="54" spans="1:9" ht="18">
      <c r="A54" s="21">
        <v>41664</v>
      </c>
      <c r="B54" s="19">
        <v>227.9</v>
      </c>
      <c r="C54" s="20" t="s">
        <v>12</v>
      </c>
      <c r="D54" s="20">
        <v>8</v>
      </c>
      <c r="E54" s="19" t="s">
        <v>19</v>
      </c>
      <c r="F54">
        <f t="shared" si="0"/>
        <v>230</v>
      </c>
      <c r="I54">
        <v>0</v>
      </c>
    </row>
    <row r="55" spans="1:9" ht="18">
      <c r="A55" s="21">
        <v>41664</v>
      </c>
      <c r="B55" s="19">
        <v>215.8</v>
      </c>
      <c r="C55" s="20" t="s">
        <v>12</v>
      </c>
      <c r="D55" s="20">
        <v>8</v>
      </c>
      <c r="E55" s="19" t="s">
        <v>19</v>
      </c>
      <c r="F55">
        <f t="shared" si="0"/>
        <v>220</v>
      </c>
      <c r="I55">
        <v>0</v>
      </c>
    </row>
    <row r="56" spans="1:9" ht="18">
      <c r="A56" s="21">
        <v>41667</v>
      </c>
      <c r="B56" s="19">
        <v>213.8</v>
      </c>
      <c r="C56" s="20" t="s">
        <v>12</v>
      </c>
      <c r="D56" s="20">
        <v>8</v>
      </c>
      <c r="E56" s="19" t="s">
        <v>19</v>
      </c>
      <c r="F56">
        <f t="shared" si="0"/>
        <v>210</v>
      </c>
      <c r="I56">
        <v>0</v>
      </c>
    </row>
    <row r="57" spans="1:9" ht="18">
      <c r="A57" s="21">
        <v>41666</v>
      </c>
      <c r="B57" s="19">
        <v>163.30000000000001</v>
      </c>
      <c r="C57" s="20" t="s">
        <v>12</v>
      </c>
      <c r="D57" s="20">
        <v>8</v>
      </c>
      <c r="E57" s="19" t="s">
        <v>19</v>
      </c>
      <c r="F57">
        <f t="shared" si="0"/>
        <v>160</v>
      </c>
      <c r="I57">
        <v>0</v>
      </c>
    </row>
    <row r="58" spans="1:9" ht="18">
      <c r="A58" s="21">
        <v>41665</v>
      </c>
      <c r="B58" s="19">
        <v>220.7</v>
      </c>
      <c r="C58" s="20" t="s">
        <v>12</v>
      </c>
      <c r="D58" s="20">
        <v>8</v>
      </c>
      <c r="E58" s="19" t="s">
        <v>19</v>
      </c>
      <c r="F58">
        <f t="shared" si="0"/>
        <v>220</v>
      </c>
      <c r="I58">
        <v>0</v>
      </c>
    </row>
    <row r="59" spans="1:9" ht="18">
      <c r="A59" s="21">
        <v>41665</v>
      </c>
      <c r="B59" s="19">
        <v>191.1</v>
      </c>
      <c r="C59" s="20" t="s">
        <v>12</v>
      </c>
      <c r="D59" s="20">
        <v>8</v>
      </c>
      <c r="E59" s="19" t="s">
        <v>19</v>
      </c>
      <c r="F59">
        <f t="shared" si="0"/>
        <v>190</v>
      </c>
      <c r="I59">
        <v>0</v>
      </c>
    </row>
    <row r="60" spans="1:9" ht="18">
      <c r="A60" s="21">
        <v>42022</v>
      </c>
      <c r="B60" s="19">
        <v>243.3</v>
      </c>
      <c r="C60" s="20" t="s">
        <v>20</v>
      </c>
      <c r="D60" s="20">
        <v>8</v>
      </c>
      <c r="E60" s="19" t="s">
        <v>19</v>
      </c>
      <c r="F60">
        <f t="shared" si="0"/>
        <v>240</v>
      </c>
      <c r="I60">
        <v>0</v>
      </c>
    </row>
    <row r="61" spans="1:9" ht="18">
      <c r="A61" s="21">
        <v>42023</v>
      </c>
      <c r="B61" s="19">
        <v>249.7</v>
      </c>
      <c r="C61" s="20" t="s">
        <v>20</v>
      </c>
      <c r="D61" s="20">
        <v>8</v>
      </c>
      <c r="E61" s="19" t="s">
        <v>19</v>
      </c>
      <c r="F61">
        <f t="shared" si="0"/>
        <v>250</v>
      </c>
      <c r="I61">
        <v>0</v>
      </c>
    </row>
    <row r="62" spans="1:9" ht="18">
      <c r="A62" s="21">
        <v>42024</v>
      </c>
      <c r="B62" s="19">
        <v>226.9</v>
      </c>
      <c r="C62" s="20" t="s">
        <v>20</v>
      </c>
      <c r="D62" s="20">
        <v>8</v>
      </c>
      <c r="E62" s="19" t="s">
        <v>19</v>
      </c>
      <c r="F62">
        <f t="shared" si="0"/>
        <v>230</v>
      </c>
      <c r="I62">
        <v>0</v>
      </c>
    </row>
    <row r="63" spans="1:9" ht="18">
      <c r="A63" s="21">
        <v>42024</v>
      </c>
      <c r="B63" s="19">
        <v>240.9</v>
      </c>
      <c r="C63" s="20" t="s">
        <v>20</v>
      </c>
      <c r="D63" s="20">
        <v>8</v>
      </c>
      <c r="E63" s="19" t="s">
        <v>19</v>
      </c>
      <c r="F63">
        <f t="shared" si="0"/>
        <v>240</v>
      </c>
      <c r="I63">
        <v>0</v>
      </c>
    </row>
    <row r="64" spans="1:9" ht="18">
      <c r="A64" s="21">
        <v>42026</v>
      </c>
      <c r="B64" s="19">
        <v>213.8</v>
      </c>
      <c r="C64" s="20" t="s">
        <v>20</v>
      </c>
      <c r="D64" s="20">
        <v>8</v>
      </c>
      <c r="E64" s="19" t="s">
        <v>19</v>
      </c>
      <c r="F64">
        <f t="shared" si="0"/>
        <v>210</v>
      </c>
      <c r="I64">
        <v>0</v>
      </c>
    </row>
    <row r="65" spans="1:9" ht="18">
      <c r="A65" s="21">
        <v>42027</v>
      </c>
      <c r="B65" s="19">
        <v>243.6</v>
      </c>
      <c r="C65" s="20" t="s">
        <v>20</v>
      </c>
      <c r="D65" s="20">
        <v>8</v>
      </c>
      <c r="E65" s="19" t="s">
        <v>19</v>
      </c>
      <c r="F65">
        <f t="shared" si="0"/>
        <v>240</v>
      </c>
      <c r="I65">
        <v>0</v>
      </c>
    </row>
    <row r="66" spans="1:9" ht="18">
      <c r="A66" s="21">
        <v>41664</v>
      </c>
      <c r="B66" s="19">
        <v>173</v>
      </c>
      <c r="C66" s="20" t="s">
        <v>20</v>
      </c>
      <c r="D66" s="20">
        <v>8</v>
      </c>
      <c r="E66" s="19" t="s">
        <v>19</v>
      </c>
      <c r="F66">
        <f t="shared" si="0"/>
        <v>170</v>
      </c>
      <c r="I66">
        <v>0</v>
      </c>
    </row>
    <row r="67" spans="1:9" ht="18">
      <c r="A67" s="21">
        <v>41664</v>
      </c>
      <c r="B67" s="19">
        <v>186.6</v>
      </c>
      <c r="C67" s="20" t="s">
        <v>20</v>
      </c>
      <c r="D67" s="20">
        <v>8</v>
      </c>
      <c r="E67" s="19" t="s">
        <v>19</v>
      </c>
      <c r="F67">
        <f t="shared" ref="F67:F96" si="1">ROUND(B67/10,0)*10</f>
        <v>190</v>
      </c>
      <c r="I67">
        <v>0</v>
      </c>
    </row>
    <row r="68" spans="1:9" ht="18">
      <c r="A68" s="21">
        <v>41667</v>
      </c>
      <c r="B68" s="19">
        <v>199.6</v>
      </c>
      <c r="C68" s="20" t="s">
        <v>20</v>
      </c>
      <c r="D68" s="20">
        <v>8</v>
      </c>
      <c r="E68" s="19" t="s">
        <v>19</v>
      </c>
      <c r="F68">
        <f t="shared" si="1"/>
        <v>200</v>
      </c>
      <c r="I68">
        <v>0</v>
      </c>
    </row>
    <row r="69" spans="1:9" ht="18">
      <c r="A69" s="21">
        <v>41666</v>
      </c>
      <c r="B69" s="19">
        <v>177.9</v>
      </c>
      <c r="C69" s="20" t="s">
        <v>20</v>
      </c>
      <c r="D69" s="20">
        <v>8</v>
      </c>
      <c r="E69" s="19" t="s">
        <v>19</v>
      </c>
      <c r="F69">
        <f t="shared" si="1"/>
        <v>180</v>
      </c>
      <c r="I69">
        <v>0</v>
      </c>
    </row>
    <row r="70" spans="1:9" ht="18">
      <c r="A70" s="21">
        <v>41665</v>
      </c>
      <c r="B70" s="19">
        <v>220.7</v>
      </c>
      <c r="C70" s="20" t="s">
        <v>20</v>
      </c>
      <c r="D70" s="20">
        <v>8</v>
      </c>
      <c r="E70" s="19" t="s">
        <v>19</v>
      </c>
      <c r="F70">
        <f t="shared" si="1"/>
        <v>220</v>
      </c>
      <c r="I70">
        <v>0</v>
      </c>
    </row>
    <row r="71" spans="1:9" ht="18">
      <c r="A71" s="21">
        <v>41665</v>
      </c>
      <c r="B71" s="19">
        <v>188.2</v>
      </c>
      <c r="C71" s="20" t="s">
        <v>20</v>
      </c>
      <c r="D71" s="20">
        <v>8</v>
      </c>
      <c r="E71" s="19" t="s">
        <v>19</v>
      </c>
      <c r="F71">
        <f t="shared" si="1"/>
        <v>190</v>
      </c>
      <c r="I71">
        <v>0</v>
      </c>
    </row>
    <row r="72" spans="1:9" ht="18">
      <c r="A72" s="1">
        <v>42033</v>
      </c>
      <c r="B72" s="19">
        <v>271.10000000000002</v>
      </c>
      <c r="C72" s="20" t="s">
        <v>12</v>
      </c>
      <c r="D72" s="20">
        <v>8</v>
      </c>
      <c r="E72" s="19" t="s">
        <v>13</v>
      </c>
      <c r="F72">
        <f t="shared" si="1"/>
        <v>270</v>
      </c>
      <c r="I72">
        <v>0</v>
      </c>
    </row>
    <row r="73" spans="1:9" ht="18">
      <c r="A73" s="1">
        <v>42033</v>
      </c>
      <c r="B73" s="19">
        <v>271.10000000000002</v>
      </c>
      <c r="C73" s="20" t="s">
        <v>12</v>
      </c>
      <c r="D73" s="20">
        <v>8</v>
      </c>
      <c r="E73" s="19" t="s">
        <v>19</v>
      </c>
      <c r="F73">
        <f t="shared" si="1"/>
        <v>270</v>
      </c>
      <c r="I73">
        <v>0</v>
      </c>
    </row>
    <row r="74" spans="1:9" ht="18">
      <c r="A74" s="1">
        <v>42033</v>
      </c>
      <c r="B74" s="19">
        <v>271.10000000000002</v>
      </c>
      <c r="C74" s="20" t="s">
        <v>12</v>
      </c>
      <c r="D74" s="20">
        <v>0</v>
      </c>
      <c r="E74" s="19" t="s">
        <v>19</v>
      </c>
      <c r="F74">
        <f t="shared" si="1"/>
        <v>270</v>
      </c>
      <c r="I74">
        <v>0</v>
      </c>
    </row>
    <row r="75" spans="1:9" ht="18">
      <c r="A75" s="1">
        <v>42033</v>
      </c>
      <c r="B75" s="19">
        <v>218.7</v>
      </c>
      <c r="C75" s="20" t="s">
        <v>12</v>
      </c>
      <c r="D75" s="20">
        <v>0</v>
      </c>
      <c r="E75" s="19" t="s">
        <v>13</v>
      </c>
      <c r="F75">
        <f t="shared" si="1"/>
        <v>220</v>
      </c>
      <c r="I75">
        <v>0</v>
      </c>
    </row>
    <row r="76" spans="1:9" ht="18">
      <c r="A76" s="1">
        <v>42033</v>
      </c>
      <c r="B76" s="19">
        <v>264.8</v>
      </c>
      <c r="C76" s="20" t="s">
        <v>20</v>
      </c>
      <c r="D76" s="20">
        <v>8</v>
      </c>
      <c r="E76" s="19" t="s">
        <v>19</v>
      </c>
      <c r="F76">
        <f t="shared" si="1"/>
        <v>260</v>
      </c>
      <c r="I76">
        <v>0</v>
      </c>
    </row>
    <row r="77" spans="1:9" ht="18">
      <c r="A77" s="1">
        <v>42034</v>
      </c>
      <c r="B77" s="19">
        <v>173.7</v>
      </c>
      <c r="C77" s="20" t="s">
        <v>12</v>
      </c>
      <c r="D77" s="20">
        <v>8</v>
      </c>
      <c r="E77" s="19" t="s">
        <v>13</v>
      </c>
      <c r="F77">
        <f t="shared" si="1"/>
        <v>170</v>
      </c>
      <c r="I77">
        <v>0</v>
      </c>
    </row>
    <row r="78" spans="1:9" ht="18">
      <c r="A78" s="1">
        <v>42034</v>
      </c>
      <c r="B78" s="19">
        <v>173.7</v>
      </c>
      <c r="C78" s="20" t="s">
        <v>12</v>
      </c>
      <c r="D78" s="20">
        <v>8</v>
      </c>
      <c r="E78" s="19" t="s">
        <v>19</v>
      </c>
      <c r="F78">
        <f t="shared" si="1"/>
        <v>170</v>
      </c>
      <c r="I78">
        <v>0</v>
      </c>
    </row>
    <row r="79" spans="1:9" ht="18">
      <c r="A79" s="1">
        <v>42034</v>
      </c>
      <c r="B79" s="19">
        <v>173.7</v>
      </c>
      <c r="C79" s="20" t="s">
        <v>12</v>
      </c>
      <c r="D79" s="20">
        <v>0</v>
      </c>
      <c r="E79" s="19" t="s">
        <v>19</v>
      </c>
      <c r="F79">
        <f t="shared" si="1"/>
        <v>170</v>
      </c>
      <c r="I79">
        <v>0</v>
      </c>
    </row>
    <row r="80" spans="1:9" ht="18">
      <c r="A80" s="1">
        <v>42034</v>
      </c>
      <c r="B80" s="19">
        <v>173.7</v>
      </c>
      <c r="C80" s="20" t="s">
        <v>12</v>
      </c>
      <c r="D80" s="20">
        <v>0</v>
      </c>
      <c r="E80" s="19" t="s">
        <v>13</v>
      </c>
      <c r="F80">
        <f t="shared" si="1"/>
        <v>170</v>
      </c>
      <c r="I80">
        <v>0</v>
      </c>
    </row>
    <row r="81" spans="1:9" ht="18">
      <c r="A81" s="1">
        <v>42034</v>
      </c>
      <c r="B81" s="19">
        <v>173.7</v>
      </c>
      <c r="C81" s="20" t="s">
        <v>20</v>
      </c>
      <c r="D81" s="20">
        <v>8</v>
      </c>
      <c r="E81" s="19" t="s">
        <v>19</v>
      </c>
      <c r="F81">
        <f t="shared" si="1"/>
        <v>170</v>
      </c>
      <c r="I81">
        <v>0</v>
      </c>
    </row>
    <row r="82" spans="1:9" ht="25">
      <c r="A82" s="1">
        <v>42035</v>
      </c>
      <c r="B82" s="19">
        <v>191.5</v>
      </c>
      <c r="C82" s="20" t="s">
        <v>12</v>
      </c>
      <c r="D82" s="20">
        <v>8</v>
      </c>
      <c r="E82" s="19" t="s">
        <v>13</v>
      </c>
      <c r="F82">
        <f t="shared" si="1"/>
        <v>190</v>
      </c>
      <c r="G82" s="22" t="s">
        <v>24</v>
      </c>
      <c r="I82">
        <v>0</v>
      </c>
    </row>
    <row r="83" spans="1:9" ht="25">
      <c r="A83" s="1">
        <v>42035</v>
      </c>
      <c r="B83" s="19">
        <v>178.6</v>
      </c>
      <c r="C83" s="20" t="s">
        <v>12</v>
      </c>
      <c r="D83" s="20">
        <v>8</v>
      </c>
      <c r="E83" s="19" t="s">
        <v>19</v>
      </c>
      <c r="F83">
        <f t="shared" si="1"/>
        <v>180</v>
      </c>
      <c r="G83" s="22" t="s">
        <v>23</v>
      </c>
      <c r="I83">
        <v>0</v>
      </c>
    </row>
    <row r="84" spans="1:9" ht="25">
      <c r="A84" s="1">
        <v>42035</v>
      </c>
      <c r="B84" s="19">
        <v>178.7</v>
      </c>
      <c r="C84" s="20" t="s">
        <v>12</v>
      </c>
      <c r="D84" s="20">
        <v>0</v>
      </c>
      <c r="E84" s="19" t="s">
        <v>19</v>
      </c>
      <c r="F84">
        <f t="shared" si="1"/>
        <v>180</v>
      </c>
      <c r="G84" s="22" t="s">
        <v>25</v>
      </c>
      <c r="I84">
        <v>0</v>
      </c>
    </row>
    <row r="85" spans="1:9" ht="25">
      <c r="A85" s="1">
        <v>42035</v>
      </c>
      <c r="B85" s="19">
        <v>191.5</v>
      </c>
      <c r="C85" s="20" t="s">
        <v>12</v>
      </c>
      <c r="D85" s="20">
        <v>0</v>
      </c>
      <c r="E85" s="19" t="s">
        <v>13</v>
      </c>
      <c r="F85">
        <f t="shared" si="1"/>
        <v>190</v>
      </c>
      <c r="G85" s="22" t="s">
        <v>23</v>
      </c>
      <c r="I85">
        <v>0</v>
      </c>
    </row>
    <row r="86" spans="1:9" ht="25">
      <c r="A86" s="1">
        <v>42035</v>
      </c>
      <c r="B86" s="19">
        <v>217.7</v>
      </c>
      <c r="C86" s="20" t="s">
        <v>20</v>
      </c>
      <c r="D86" s="20">
        <v>8</v>
      </c>
      <c r="E86" s="19" t="s">
        <v>19</v>
      </c>
      <c r="F86">
        <f t="shared" si="1"/>
        <v>220</v>
      </c>
      <c r="G86" s="22" t="s">
        <v>26</v>
      </c>
      <c r="I86">
        <v>0</v>
      </c>
    </row>
    <row r="87" spans="1:9" ht="25">
      <c r="A87" s="1">
        <v>42035</v>
      </c>
      <c r="B87" s="19">
        <v>219.3</v>
      </c>
      <c r="C87" s="20" t="s">
        <v>12</v>
      </c>
      <c r="D87" s="20">
        <v>8</v>
      </c>
      <c r="E87" s="19" t="s">
        <v>13</v>
      </c>
      <c r="F87">
        <f t="shared" si="1"/>
        <v>220</v>
      </c>
      <c r="G87" s="22" t="s">
        <v>28</v>
      </c>
      <c r="I87">
        <v>0</v>
      </c>
    </row>
    <row r="88" spans="1:9" ht="25">
      <c r="A88" s="1">
        <v>42035</v>
      </c>
      <c r="B88" s="19">
        <v>205.4</v>
      </c>
      <c r="C88" s="20" t="s">
        <v>12</v>
      </c>
      <c r="D88" s="20">
        <v>8</v>
      </c>
      <c r="E88" s="19" t="s">
        <v>19</v>
      </c>
      <c r="F88">
        <f t="shared" si="1"/>
        <v>210</v>
      </c>
      <c r="G88" s="22" t="s">
        <v>30</v>
      </c>
      <c r="I88">
        <v>0</v>
      </c>
    </row>
    <row r="89" spans="1:9" ht="25">
      <c r="A89" s="1">
        <v>42035</v>
      </c>
      <c r="B89" s="19">
        <v>185.9</v>
      </c>
      <c r="C89" s="20" t="s">
        <v>12</v>
      </c>
      <c r="D89" s="20">
        <v>0</v>
      </c>
      <c r="E89" s="19" t="s">
        <v>19</v>
      </c>
      <c r="F89">
        <f t="shared" si="1"/>
        <v>190</v>
      </c>
      <c r="G89" s="22" t="s">
        <v>29</v>
      </c>
      <c r="I89">
        <v>0</v>
      </c>
    </row>
    <row r="90" spans="1:9" ht="25">
      <c r="A90" s="1">
        <v>42035</v>
      </c>
      <c r="B90" s="19">
        <v>179.4</v>
      </c>
      <c r="C90" s="20" t="s">
        <v>12</v>
      </c>
      <c r="D90" s="20">
        <v>0</v>
      </c>
      <c r="E90" s="19" t="s">
        <v>13</v>
      </c>
      <c r="F90">
        <f t="shared" si="1"/>
        <v>180</v>
      </c>
      <c r="G90" s="22" t="s">
        <v>27</v>
      </c>
      <c r="I90">
        <v>0</v>
      </c>
    </row>
    <row r="91" spans="1:9" ht="25">
      <c r="A91" s="1">
        <v>42035</v>
      </c>
      <c r="B91" s="19">
        <v>212.8</v>
      </c>
      <c r="C91" s="20" t="s">
        <v>20</v>
      </c>
      <c r="D91" s="20">
        <v>8</v>
      </c>
      <c r="E91" s="19" t="s">
        <v>19</v>
      </c>
      <c r="F91">
        <f t="shared" si="1"/>
        <v>210</v>
      </c>
      <c r="G91" s="22" t="s">
        <v>31</v>
      </c>
      <c r="I91">
        <v>0</v>
      </c>
    </row>
    <row r="92" spans="1:9" ht="25">
      <c r="A92" s="1">
        <v>42036</v>
      </c>
      <c r="B92" s="19">
        <v>254.5</v>
      </c>
      <c r="C92" s="20" t="s">
        <v>12</v>
      </c>
      <c r="D92" s="20">
        <v>0</v>
      </c>
      <c r="E92" s="19" t="s">
        <v>13</v>
      </c>
      <c r="F92">
        <f t="shared" si="1"/>
        <v>250</v>
      </c>
      <c r="G92" s="22" t="s">
        <v>32</v>
      </c>
      <c r="I92">
        <v>0</v>
      </c>
    </row>
    <row r="93" spans="1:9" ht="25">
      <c r="A93" s="1">
        <v>42036</v>
      </c>
      <c r="B93" s="19">
        <v>254.5</v>
      </c>
      <c r="C93" s="20" t="s">
        <v>12</v>
      </c>
      <c r="D93" s="20">
        <v>8</v>
      </c>
      <c r="E93" s="19" t="s">
        <v>13</v>
      </c>
      <c r="F93">
        <f t="shared" si="1"/>
        <v>250</v>
      </c>
      <c r="G93" s="22" t="s">
        <v>32</v>
      </c>
      <c r="I93">
        <v>0</v>
      </c>
    </row>
    <row r="94" spans="1:9" ht="25">
      <c r="A94" s="1">
        <v>42036</v>
      </c>
      <c r="B94" s="19">
        <v>254.5</v>
      </c>
      <c r="C94" s="20" t="s">
        <v>12</v>
      </c>
      <c r="D94" s="20">
        <v>0</v>
      </c>
      <c r="E94" s="19" t="s">
        <v>19</v>
      </c>
      <c r="F94">
        <f t="shared" si="1"/>
        <v>250</v>
      </c>
      <c r="G94" s="22" t="s">
        <v>32</v>
      </c>
      <c r="I94">
        <v>0</v>
      </c>
    </row>
    <row r="95" spans="1:9" ht="25">
      <c r="A95" s="1">
        <v>42036</v>
      </c>
      <c r="B95" s="19">
        <v>254.5</v>
      </c>
      <c r="C95" s="20" t="s">
        <v>12</v>
      </c>
      <c r="D95" s="20">
        <v>8</v>
      </c>
      <c r="E95" s="19" t="s">
        <v>19</v>
      </c>
      <c r="F95">
        <f t="shared" si="1"/>
        <v>250</v>
      </c>
      <c r="G95" s="22" t="s">
        <v>32</v>
      </c>
      <c r="I95">
        <v>0</v>
      </c>
    </row>
    <row r="96" spans="1:9" ht="25">
      <c r="A96" s="1">
        <v>42036</v>
      </c>
      <c r="B96" s="19">
        <v>254.5</v>
      </c>
      <c r="C96" s="20" t="s">
        <v>20</v>
      </c>
      <c r="D96" s="20">
        <v>8</v>
      </c>
      <c r="E96" s="19" t="s">
        <v>19</v>
      </c>
      <c r="F96">
        <f t="shared" si="1"/>
        <v>250</v>
      </c>
      <c r="G96" s="22" t="s">
        <v>32</v>
      </c>
      <c r="I96">
        <v>0</v>
      </c>
    </row>
    <row r="97" spans="1:9" ht="25">
      <c r="A97" s="1">
        <v>42037</v>
      </c>
      <c r="B97" s="19">
        <v>211.6</v>
      </c>
      <c r="C97" s="20" t="s">
        <v>12</v>
      </c>
      <c r="D97" s="20">
        <v>0</v>
      </c>
      <c r="E97" s="19" t="s">
        <v>13</v>
      </c>
      <c r="F97">
        <f t="shared" ref="F97:F101" si="2">ROUND(B97/10,0)*10</f>
        <v>210</v>
      </c>
      <c r="G97" s="22" t="s">
        <v>33</v>
      </c>
      <c r="I97">
        <v>0</v>
      </c>
    </row>
    <row r="98" spans="1:9" ht="25">
      <c r="A98" s="1">
        <v>42037</v>
      </c>
      <c r="B98" s="19">
        <v>215.6</v>
      </c>
      <c r="C98" s="20" t="s">
        <v>12</v>
      </c>
      <c r="D98" s="20">
        <v>8</v>
      </c>
      <c r="E98" s="19" t="s">
        <v>13</v>
      </c>
      <c r="F98">
        <f t="shared" si="2"/>
        <v>220</v>
      </c>
      <c r="G98" s="22" t="s">
        <v>34</v>
      </c>
      <c r="I98">
        <v>0</v>
      </c>
    </row>
    <row r="99" spans="1:9" ht="25">
      <c r="A99" s="1">
        <v>42037</v>
      </c>
      <c r="B99" s="19">
        <v>214.7</v>
      </c>
      <c r="C99" s="20" t="s">
        <v>12</v>
      </c>
      <c r="D99" s="20">
        <v>0</v>
      </c>
      <c r="E99" s="19" t="s">
        <v>19</v>
      </c>
      <c r="F99">
        <f t="shared" si="2"/>
        <v>210</v>
      </c>
      <c r="G99" s="22" t="s">
        <v>35</v>
      </c>
      <c r="I99">
        <v>0</v>
      </c>
    </row>
    <row r="100" spans="1:9" ht="25">
      <c r="A100" s="1">
        <v>42037</v>
      </c>
      <c r="B100" s="19">
        <v>242</v>
      </c>
      <c r="C100" s="20" t="s">
        <v>12</v>
      </c>
      <c r="D100" s="20">
        <v>8</v>
      </c>
      <c r="E100" s="19" t="s">
        <v>19</v>
      </c>
      <c r="F100">
        <f t="shared" si="2"/>
        <v>240</v>
      </c>
      <c r="G100" s="22" t="s">
        <v>36</v>
      </c>
      <c r="I100">
        <v>0</v>
      </c>
    </row>
    <row r="101" spans="1:9" ht="25">
      <c r="A101" s="1">
        <v>42037</v>
      </c>
      <c r="B101" s="19">
        <v>239</v>
      </c>
      <c r="C101" s="20" t="s">
        <v>20</v>
      </c>
      <c r="D101" s="20">
        <v>8</v>
      </c>
      <c r="E101" s="19" t="s">
        <v>19</v>
      </c>
      <c r="F101">
        <f t="shared" si="2"/>
        <v>240</v>
      </c>
      <c r="G101" s="22" t="s">
        <v>37</v>
      </c>
      <c r="I101">
        <v>0</v>
      </c>
    </row>
    <row r="102" spans="1:9" ht="25">
      <c r="A102" s="1">
        <v>42038</v>
      </c>
      <c r="B102" s="19"/>
      <c r="C102" s="20" t="s">
        <v>12</v>
      </c>
      <c r="D102" s="20">
        <v>0</v>
      </c>
      <c r="E102" s="19" t="s">
        <v>13</v>
      </c>
      <c r="G102" s="22" t="s">
        <v>39</v>
      </c>
      <c r="I102">
        <v>0</v>
      </c>
    </row>
    <row r="103" spans="1:9" ht="25">
      <c r="A103" s="1">
        <v>42038</v>
      </c>
      <c r="B103" s="19"/>
      <c r="C103" s="20" t="s">
        <v>12</v>
      </c>
      <c r="D103" s="20">
        <v>8</v>
      </c>
      <c r="E103" s="19" t="s">
        <v>13</v>
      </c>
      <c r="G103" s="22" t="s">
        <v>39</v>
      </c>
      <c r="I103">
        <v>0</v>
      </c>
    </row>
    <row r="104" spans="1:9" ht="25">
      <c r="A104" s="1">
        <v>42038</v>
      </c>
      <c r="B104" s="19"/>
      <c r="C104" s="20" t="s">
        <v>12</v>
      </c>
      <c r="D104" s="20">
        <v>0</v>
      </c>
      <c r="E104" s="19" t="s">
        <v>19</v>
      </c>
      <c r="G104" s="22" t="s">
        <v>39</v>
      </c>
      <c r="I104">
        <v>0</v>
      </c>
    </row>
    <row r="105" spans="1:9" ht="25">
      <c r="A105" s="1">
        <v>42038</v>
      </c>
      <c r="B105" s="19"/>
      <c r="C105" s="20" t="s">
        <v>12</v>
      </c>
      <c r="D105" s="20">
        <v>8</v>
      </c>
      <c r="E105" s="19" t="s">
        <v>19</v>
      </c>
      <c r="G105" s="22" t="s">
        <v>39</v>
      </c>
      <c r="I105">
        <v>0</v>
      </c>
    </row>
    <row r="106" spans="1:9" ht="25">
      <c r="A106" s="1">
        <v>42038</v>
      </c>
      <c r="B106" s="19"/>
      <c r="C106" s="20" t="s">
        <v>20</v>
      </c>
      <c r="D106" s="20">
        <v>8</v>
      </c>
      <c r="E106" s="19" t="s">
        <v>19</v>
      </c>
      <c r="G106" s="22" t="s">
        <v>38</v>
      </c>
      <c r="I106">
        <v>0</v>
      </c>
    </row>
    <row r="107" spans="1:9">
      <c r="I107">
        <v>0</v>
      </c>
    </row>
    <row r="108" spans="1:9">
      <c r="I108">
        <v>0</v>
      </c>
    </row>
    <row r="109" spans="1:9">
      <c r="I109">
        <v>0</v>
      </c>
    </row>
    <row r="110" spans="1:9">
      <c r="I110">
        <v>0</v>
      </c>
    </row>
    <row r="111" spans="1:9">
      <c r="I111">
        <v>0</v>
      </c>
    </row>
    <row r="112" spans="1:9">
      <c r="I112">
        <v>0</v>
      </c>
    </row>
    <row r="113" spans="9:9">
      <c r="I113">
        <v>0</v>
      </c>
    </row>
    <row r="114" spans="9:9">
      <c r="I114">
        <v>0</v>
      </c>
    </row>
    <row r="115" spans="9:9">
      <c r="I115">
        <v>0</v>
      </c>
    </row>
    <row r="116" spans="9:9">
      <c r="I116">
        <v>0</v>
      </c>
    </row>
    <row r="117" spans="9:9">
      <c r="I117">
        <v>0</v>
      </c>
    </row>
    <row r="118" spans="9:9">
      <c r="I118">
        <v>0</v>
      </c>
    </row>
    <row r="119" spans="9:9">
      <c r="I119">
        <v>0</v>
      </c>
    </row>
    <row r="120" spans="9:9">
      <c r="I120">
        <v>0</v>
      </c>
    </row>
    <row r="121" spans="9:9">
      <c r="I121">
        <v>0</v>
      </c>
    </row>
    <row r="122" spans="9:9">
      <c r="I122">
        <v>0</v>
      </c>
    </row>
    <row r="123" spans="9:9">
      <c r="I123">
        <v>0</v>
      </c>
    </row>
    <row r="124" spans="9:9">
      <c r="I124">
        <v>0</v>
      </c>
    </row>
    <row r="125" spans="9:9">
      <c r="I125">
        <v>0</v>
      </c>
    </row>
    <row r="126" spans="9:9">
      <c r="I126">
        <v>0</v>
      </c>
    </row>
    <row r="127" spans="9:9">
      <c r="I127">
        <v>0</v>
      </c>
    </row>
    <row r="128" spans="9:9">
      <c r="I128">
        <v>0</v>
      </c>
    </row>
    <row r="129" spans="9:9">
      <c r="I129">
        <v>0</v>
      </c>
    </row>
    <row r="130" spans="9:9">
      <c r="I130">
        <v>0</v>
      </c>
    </row>
    <row r="131" spans="9:9">
      <c r="I131">
        <v>0</v>
      </c>
    </row>
    <row r="132" spans="9:9">
      <c r="I132">
        <v>0</v>
      </c>
    </row>
    <row r="133" spans="9:9">
      <c r="I133">
        <v>0</v>
      </c>
    </row>
    <row r="134" spans="9:9">
      <c r="I134">
        <v>0</v>
      </c>
    </row>
    <row r="135" spans="9:9">
      <c r="I135">
        <v>0</v>
      </c>
    </row>
    <row r="136" spans="9:9">
      <c r="I136">
        <v>0</v>
      </c>
    </row>
    <row r="137" spans="9:9">
      <c r="I137">
        <v>0</v>
      </c>
    </row>
    <row r="138" spans="9:9">
      <c r="I138">
        <v>0</v>
      </c>
    </row>
    <row r="139" spans="9:9">
      <c r="I139">
        <v>0</v>
      </c>
    </row>
    <row r="140" spans="9:9">
      <c r="I140">
        <v>0</v>
      </c>
    </row>
    <row r="141" spans="9:9">
      <c r="I141">
        <v>0</v>
      </c>
    </row>
    <row r="142" spans="9:9">
      <c r="I142">
        <v>0</v>
      </c>
    </row>
    <row r="143" spans="9:9">
      <c r="I143">
        <v>0</v>
      </c>
    </row>
    <row r="144" spans="9:9">
      <c r="I144">
        <v>0</v>
      </c>
    </row>
    <row r="145" spans="9:9">
      <c r="I145">
        <v>0</v>
      </c>
    </row>
    <row r="146" spans="9:9">
      <c r="I146">
        <v>0</v>
      </c>
    </row>
    <row r="147" spans="9:9">
      <c r="I147">
        <v>0</v>
      </c>
    </row>
    <row r="148" spans="9:9">
      <c r="I148">
        <v>0</v>
      </c>
    </row>
    <row r="149" spans="9:9">
      <c r="I149">
        <v>0</v>
      </c>
    </row>
    <row r="150" spans="9:9">
      <c r="I150">
        <v>0</v>
      </c>
    </row>
    <row r="151" spans="9:9">
      <c r="I151">
        <v>0</v>
      </c>
    </row>
    <row r="152" spans="9:9">
      <c r="I152">
        <v>0</v>
      </c>
    </row>
    <row r="153" spans="9:9">
      <c r="I153">
        <v>0</v>
      </c>
    </row>
    <row r="154" spans="9:9">
      <c r="I154">
        <v>0</v>
      </c>
    </row>
    <row r="155" spans="9:9">
      <c r="I155">
        <v>0</v>
      </c>
    </row>
    <row r="156" spans="9:9">
      <c r="I156">
        <v>0</v>
      </c>
    </row>
    <row r="157" spans="9:9">
      <c r="I157">
        <v>0</v>
      </c>
    </row>
    <row r="158" spans="9:9">
      <c r="I158">
        <v>0</v>
      </c>
    </row>
    <row r="159" spans="9:9">
      <c r="I159">
        <v>0</v>
      </c>
    </row>
    <row r="160" spans="9:9">
      <c r="I160">
        <v>0</v>
      </c>
    </row>
    <row r="161" spans="9:9">
      <c r="I161">
        <v>0</v>
      </c>
    </row>
    <row r="162" spans="9:9">
      <c r="I162">
        <v>0</v>
      </c>
    </row>
    <row r="163" spans="9:9">
      <c r="I163">
        <v>0</v>
      </c>
    </row>
    <row r="164" spans="9:9">
      <c r="I164">
        <v>0</v>
      </c>
    </row>
    <row r="165" spans="9:9">
      <c r="I165">
        <v>0</v>
      </c>
    </row>
    <row r="166" spans="9:9">
      <c r="I166">
        <v>0</v>
      </c>
    </row>
    <row r="167" spans="9:9">
      <c r="I167">
        <v>0</v>
      </c>
    </row>
    <row r="168" spans="9:9">
      <c r="I168">
        <v>0</v>
      </c>
    </row>
    <row r="169" spans="9:9">
      <c r="I169">
        <v>0</v>
      </c>
    </row>
    <row r="170" spans="9:9">
      <c r="I170">
        <v>0</v>
      </c>
    </row>
    <row r="171" spans="9:9">
      <c r="I171">
        <v>0</v>
      </c>
    </row>
    <row r="172" spans="9:9">
      <c r="I172">
        <v>0</v>
      </c>
    </row>
    <row r="173" spans="9:9">
      <c r="I173">
        <v>0</v>
      </c>
    </row>
    <row r="174" spans="9:9">
      <c r="I174">
        <v>0</v>
      </c>
    </row>
    <row r="175" spans="9:9">
      <c r="I175">
        <v>0</v>
      </c>
    </row>
    <row r="176" spans="9:9">
      <c r="I176">
        <v>0</v>
      </c>
    </row>
    <row r="177" spans="9:9">
      <c r="I177">
        <v>0</v>
      </c>
    </row>
    <row r="178" spans="9:9">
      <c r="I178">
        <v>0</v>
      </c>
    </row>
    <row r="179" spans="9:9">
      <c r="I179">
        <v>0</v>
      </c>
    </row>
    <row r="180" spans="9:9">
      <c r="I180">
        <v>0</v>
      </c>
    </row>
    <row r="181" spans="9:9">
      <c r="I181">
        <v>0</v>
      </c>
    </row>
    <row r="182" spans="9:9">
      <c r="I182">
        <v>0</v>
      </c>
    </row>
    <row r="183" spans="9:9">
      <c r="I183">
        <v>0</v>
      </c>
    </row>
    <row r="184" spans="9:9">
      <c r="I184">
        <v>0</v>
      </c>
    </row>
    <row r="185" spans="9:9">
      <c r="I185">
        <v>0</v>
      </c>
    </row>
    <row r="186" spans="9:9">
      <c r="I186">
        <v>0</v>
      </c>
    </row>
    <row r="187" spans="9:9">
      <c r="I187">
        <v>0</v>
      </c>
    </row>
    <row r="188" spans="9:9">
      <c r="I188">
        <v>0</v>
      </c>
    </row>
    <row r="189" spans="9:9">
      <c r="I189">
        <v>0</v>
      </c>
    </row>
    <row r="190" spans="9:9">
      <c r="I190">
        <v>0</v>
      </c>
    </row>
    <row r="191" spans="9:9">
      <c r="I191">
        <v>0</v>
      </c>
    </row>
    <row r="192" spans="9:9">
      <c r="I192">
        <v>0</v>
      </c>
    </row>
    <row r="193" spans="9:9">
      <c r="I193">
        <v>0</v>
      </c>
    </row>
    <row r="194" spans="9:9">
      <c r="I194">
        <v>0</v>
      </c>
    </row>
    <row r="195" spans="9:9">
      <c r="I195">
        <v>0</v>
      </c>
    </row>
    <row r="196" spans="9:9">
      <c r="I196">
        <v>0</v>
      </c>
    </row>
    <row r="197" spans="9:9">
      <c r="I197">
        <v>0</v>
      </c>
    </row>
    <row r="198" spans="9:9">
      <c r="I198">
        <v>0</v>
      </c>
    </row>
    <row r="199" spans="9:9">
      <c r="I199">
        <v>0</v>
      </c>
    </row>
    <row r="200" spans="9:9">
      <c r="I200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Sheet5</vt:lpstr>
      <vt:lpstr>Sheet4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Jesse Green</dc:creator>
  <cp:lastModifiedBy>Jesse Green</cp:lastModifiedBy>
  <dcterms:created xsi:type="dcterms:W3CDTF">2015-01-15T22:57:47Z</dcterms:created>
  <dcterms:modified xsi:type="dcterms:W3CDTF">2015-02-03T14:47:22Z</dcterms:modified>
</cp:coreProperties>
</file>